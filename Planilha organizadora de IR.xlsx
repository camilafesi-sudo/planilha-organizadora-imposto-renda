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EstaPasta_de_trabalho" defaultThemeVersion="164011"/>
  <mc:AlternateContent xmlns:mc="http://schemas.openxmlformats.org/markup-compatibility/2006">
    <mc:Choice Requires="x15">
      <x15ac:absPath xmlns:x15ac="http://schemas.microsoft.com/office/spreadsheetml/2010/11/ac" url="C:\Users\USUARIO\Documents\"/>
    </mc:Choice>
  </mc:AlternateContent>
  <bookViews>
    <workbookView xWindow="0" yWindow="0" windowWidth="11040" windowHeight="7395"/>
  </bookViews>
  <sheets>
    <sheet name="TITULAR" sheetId="1" r:id="rId1"/>
    <sheet name="INFORMES" sheetId="2" r:id="rId2"/>
    <sheet name="NOTAS" sheetId="3" r:id="rId3"/>
    <sheet name="TABELAS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4" i="3" l="1"/>
  <c r="E33" i="3"/>
  <c r="E32" i="3"/>
  <c r="E30" i="3"/>
  <c r="E29" i="3"/>
  <c r="E28" i="3"/>
  <c r="C6" i="2" l="1"/>
</calcChain>
</file>

<file path=xl/sharedStrings.xml><?xml version="1.0" encoding="utf-8"?>
<sst xmlns="http://schemas.openxmlformats.org/spreadsheetml/2006/main" count="128" uniqueCount="96">
  <si>
    <t>NOME</t>
  </si>
  <si>
    <t>CPF</t>
  </si>
  <si>
    <t>NASCIMENTO</t>
  </si>
  <si>
    <t>CONJUGE</t>
  </si>
  <si>
    <t>RUA</t>
  </si>
  <si>
    <t>RUA ABREVIADA</t>
  </si>
  <si>
    <t>CEP</t>
  </si>
  <si>
    <t>TELEFONE</t>
  </si>
  <si>
    <t>CELULAR</t>
  </si>
  <si>
    <t>E-MAIL</t>
  </si>
  <si>
    <t>HOUVE ALTERAÇÕES DA ENTREGA ANTERIOR</t>
  </si>
  <si>
    <t>DEPENDENTE/CONJUGE</t>
  </si>
  <si>
    <t>RESIDENTEN DO EXTERIOR</t>
  </si>
  <si>
    <t>1. DADOS DO TITULAR</t>
  </si>
  <si>
    <t>preencha os dados da sua pessoa física abaixo</t>
  </si>
  <si>
    <t>NÃO</t>
  </si>
  <si>
    <t>MARIA RITA FERNANDES</t>
  </si>
  <si>
    <t>ma.rita@gmail.com</t>
  </si>
  <si>
    <t>JONAS GOTSHY</t>
  </si>
  <si>
    <t>RUA DO LIMÃO, ANHEMBI, 123</t>
  </si>
  <si>
    <t>RUA DO LIMÃO, A., 123</t>
  </si>
  <si>
    <t>BANCO</t>
  </si>
  <si>
    <t>VALOR ATUAL</t>
  </si>
  <si>
    <t>ANEXO</t>
  </si>
  <si>
    <t>bancos</t>
  </si>
  <si>
    <t>1 - Banco do Brasil</t>
  </si>
  <si>
    <t>102 - XP Investimentos CCTVM S.A.</t>
  </si>
  <si>
    <t>104 - Caixa Econômica Federal</t>
  </si>
  <si>
    <t>119 - Banco Western Union do Brasil</t>
  </si>
  <si>
    <t>184 - Banco Itaú BBA S.A.</t>
  </si>
  <si>
    <t>197 - Stone Pagamentos</t>
  </si>
  <si>
    <t>208 - Banco BTG Pactual</t>
  </si>
  <si>
    <t>212 - Banco Original</t>
  </si>
  <si>
    <t>218 - Banco Bonsucesso</t>
  </si>
  <si>
    <t>229 - Banco Cruzeiro do Sul</t>
  </si>
  <si>
    <t>237 - Banco Bradesco</t>
  </si>
  <si>
    <t>24 - Banco de Pernambuco</t>
  </si>
  <si>
    <t>241 - Banco Clássico</t>
  </si>
  <si>
    <t>250 - Banco de Crédito e Varejo (BCV)</t>
  </si>
  <si>
    <t>260 - Nubank</t>
  </si>
  <si>
    <t>29 - Banco do Estado do Rio de Janeiro</t>
  </si>
  <si>
    <t>290 - PagBank</t>
  </si>
  <si>
    <t>3 - Banco da Amazônia</t>
  </si>
  <si>
    <t>33 - Banco Santander</t>
  </si>
  <si>
    <t>336 - C6 Bank</t>
  </si>
  <si>
    <t>341 - Itaú Unibanco</t>
  </si>
  <si>
    <t>37 - Banco do Estado do Pará</t>
  </si>
  <si>
    <t>376 - Banco JPMorgan S.A.</t>
  </si>
  <si>
    <t>380 - PicPay</t>
  </si>
  <si>
    <t>4 - Banco do Nordeste do Brasil</t>
  </si>
  <si>
    <t>41 - Banco do Estado do Rio Grande do Sul</t>
  </si>
  <si>
    <t>422 - Banco Safra</t>
  </si>
  <si>
    <t>44 - Banco BVA</t>
  </si>
  <si>
    <t>464 - Banco Sumitomo Mitsui Brasileiro</t>
  </si>
  <si>
    <t>477 - Citibank</t>
  </si>
  <si>
    <t>600 - Banco Luso Brasileiro</t>
  </si>
  <si>
    <t>604 - Banco Industrial do Brasil</t>
  </si>
  <si>
    <t>610 - Banco VR</t>
  </si>
  <si>
    <t>62 - Hipercard Banco Múltiplo</t>
  </si>
  <si>
    <t>634 - Banco Triângulo</t>
  </si>
  <si>
    <t>65 - Banco Lemon</t>
  </si>
  <si>
    <t>654 - Banco AJ Renner</t>
  </si>
  <si>
    <t>655 - Banco Votorantim</t>
  </si>
  <si>
    <t>66 - Banco Morgan Stanley</t>
  </si>
  <si>
    <t>707 - Banco Daycoval</t>
  </si>
  <si>
    <t>72 - Banco Rural Mais</t>
  </si>
  <si>
    <t>734 - Banco Gerdau</t>
  </si>
  <si>
    <t>735 - Banco Neon</t>
  </si>
  <si>
    <t>74 - Banco J. Safra</t>
  </si>
  <si>
    <t>746 - Banco Modal</t>
  </si>
  <si>
    <t>748 - Banco Cooperativo Sicredi S.A.</t>
  </si>
  <si>
    <t>749 - Banco Simples</t>
  </si>
  <si>
    <t>77 - Banco Inter</t>
  </si>
  <si>
    <t>79 - Banco JBS</t>
  </si>
  <si>
    <t>82 - Banco Topázio</t>
  </si>
  <si>
    <t>topazio_2025.pdf</t>
  </si>
  <si>
    <t>1º Banco</t>
  </si>
  <si>
    <t>2º Banco</t>
  </si>
  <si>
    <t>3º Banco</t>
  </si>
  <si>
    <t>TOTAL</t>
  </si>
  <si>
    <t>2. INFORMES DE RENDIMENTOS BANCÁRIOS</t>
  </si>
  <si>
    <t>3. NOTAS BANCÁRIAS OU EXTRATO DE HOLERITE</t>
  </si>
  <si>
    <t>São todos os valores de entrada mês a mês de receita</t>
  </si>
  <si>
    <t>DATA</t>
  </si>
  <si>
    <t>CATEGORIA</t>
  </si>
  <si>
    <t>VALOR</t>
  </si>
  <si>
    <t>ENTRADAS</t>
  </si>
  <si>
    <t>HOLERITE</t>
  </si>
  <si>
    <t>CNPJ</t>
  </si>
  <si>
    <t>FREELANCE</t>
  </si>
  <si>
    <t>Janeiro/2026:</t>
  </si>
  <si>
    <t>Fevereiro/2026:</t>
  </si>
  <si>
    <t>Mês</t>
  </si>
  <si>
    <t>Tipo de entrada</t>
  </si>
  <si>
    <t>Valor total</t>
  </si>
  <si>
    <t>RESUMO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</si>
</sst>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4" formatCode="_-&quot;R$&quot;\ * #,##0.00_-;\-&quot;R$&quot;\ * #,##0.00_-;_-&quot;R$&quot;\ * &quot;-&quot;??_-;_-@_-"/>
    <numFmt numFmtId="164" formatCode="000&quot;.&quot;000&quot;.&quot;000&quot;-&quot;00"/>
    <numFmt numFmtId="165" formatCode="00000\-000"/>
    <numFmt numFmtId="166" formatCode="&quot;(&quot;00&quot;)&quot;0000&quot;-&quot;0000"/>
    <numFmt numFmtId="167" formatCode="&quot;(&quot;00&quot;)&quot;0&quot;-&quot;0000&quot;-&quot;0000"/>
    <numFmt numFmtId="168" formatCode="&quot;R$&quot;\ #,##0.00"/>
    <numFmt numFmtId="169" formatCode="mmmm\-yyyy"/>
  </numFmts>
  <fonts count="14" x14ac:knownFonts="1"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theme="1"/>
      <name val="Segoe UI Light"/>
      <family val="2"/>
    </font>
    <font>
      <b/>
      <sz val="15"/>
      <color rgb="FF9900CC"/>
      <name val="Calibri"/>
      <family val="2"/>
      <scheme val="minor"/>
    </font>
    <font>
      <i/>
      <sz val="11"/>
      <color theme="2" tint="-0.499984740745262"/>
      <name val="Arial Narrow"/>
      <family val="2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5"/>
      <color theme="2" tint="-0.499984740745262"/>
      <name val="Calibri"/>
      <family val="2"/>
      <scheme val="minor"/>
    </font>
    <font>
      <sz val="11"/>
      <color theme="2" tint="-0.499984740745262"/>
      <name val="Arial Narrow"/>
      <family val="2"/>
    </font>
    <font>
      <b/>
      <sz val="11"/>
      <color rgb="FF9C6500"/>
      <name val="Calibri"/>
      <family val="2"/>
      <scheme val="minor"/>
    </font>
    <font>
      <b/>
      <sz val="11"/>
      <color theme="0"/>
      <name val="Segoe UI Light"/>
      <family val="2"/>
    </font>
    <font>
      <b/>
      <sz val="15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494949"/>
        <bgColor indexed="64"/>
      </patternFill>
    </fill>
    <fill>
      <patternFill patternType="solid">
        <fgColor rgb="FFFFEB9C"/>
      </patternFill>
    </fill>
    <fill>
      <patternFill patternType="solid">
        <fgColor rgb="FFFFCCFF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A1EE0"/>
        <bgColor indexed="64"/>
      </patternFill>
    </fill>
    <fill>
      <patternFill patternType="solid">
        <fgColor rgb="FF9900CC"/>
        <bgColor indexed="64"/>
      </patternFill>
    </fill>
    <fill>
      <patternFill patternType="solid">
        <fgColor rgb="FFFDA5F3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/>
      <top/>
      <bottom style="thick">
        <color rgb="FF9900CC"/>
      </bottom>
      <diagonal/>
    </border>
    <border>
      <left/>
      <right/>
      <top style="thick">
        <color rgb="FF9900CC"/>
      </top>
      <bottom/>
      <diagonal/>
    </border>
    <border>
      <left/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/>
      <top/>
      <bottom style="thick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</borders>
  <cellStyleXfs count="5">
    <xf numFmtId="0" fontId="0" fillId="0" borderId="0"/>
    <xf numFmtId="0" fontId="1" fillId="0" borderId="1" applyNumberFormat="0" applyFill="0" applyAlignment="0" applyProtection="0"/>
    <xf numFmtId="0" fontId="2" fillId="3" borderId="0" applyNumberFormat="0" applyBorder="0" applyAlignment="0" applyProtection="0"/>
    <xf numFmtId="0" fontId="6" fillId="0" borderId="0" applyNumberFormat="0" applyFill="0" applyBorder="0" applyAlignment="0" applyProtection="0"/>
    <xf numFmtId="44" fontId="7" fillId="0" borderId="0" applyFont="0" applyFill="0" applyBorder="0" applyAlignment="0" applyProtection="0"/>
  </cellStyleXfs>
  <cellXfs count="37">
    <xf numFmtId="0" fontId="0" fillId="0" borderId="0" xfId="0"/>
    <xf numFmtId="0" fontId="0" fillId="2" borderId="0" xfId="0" applyFill="1"/>
    <xf numFmtId="0" fontId="3" fillId="0" borderId="2" xfId="0" applyFont="1" applyBorder="1" applyAlignment="1">
      <alignment horizontal="left" vertical="top"/>
    </xf>
    <xf numFmtId="0" fontId="4" fillId="0" borderId="3" xfId="1" applyFont="1" applyBorder="1"/>
    <xf numFmtId="0" fontId="1" fillId="0" borderId="3" xfId="1" applyBorder="1"/>
    <xf numFmtId="0" fontId="4" fillId="0" borderId="0" xfId="1" applyFont="1" applyBorder="1"/>
    <xf numFmtId="0" fontId="1" fillId="0" borderId="0" xfId="1" applyBorder="1"/>
    <xf numFmtId="0" fontId="0" fillId="0" borderId="0" xfId="0"/>
    <xf numFmtId="0" fontId="8" fillId="5" borderId="0" xfId="0" applyFont="1" applyFill="1"/>
    <xf numFmtId="0" fontId="9" fillId="0" borderId="0" xfId="1" applyFont="1" applyBorder="1"/>
    <xf numFmtId="0" fontId="10" fillId="0" borderId="0" xfId="1" applyFont="1" applyBorder="1"/>
    <xf numFmtId="0" fontId="13" fillId="7" borderId="0" xfId="1" applyFont="1" applyFill="1" applyBorder="1" applyAlignment="1">
      <alignment horizontal="center" vertical="center"/>
    </xf>
    <xf numFmtId="0" fontId="5" fillId="4" borderId="4" xfId="1" applyFont="1" applyFill="1" applyBorder="1" applyAlignment="1">
      <alignment horizontal="left" vertical="center" indent="3"/>
    </xf>
    <xf numFmtId="0" fontId="4" fillId="0" borderId="0" xfId="1" applyFont="1" applyBorder="1" applyAlignment="1">
      <alignment horizontal="left"/>
    </xf>
    <xf numFmtId="0" fontId="5" fillId="4" borderId="0" xfId="1" applyFont="1" applyFill="1" applyBorder="1" applyAlignment="1">
      <alignment horizontal="left" vertical="center"/>
    </xf>
    <xf numFmtId="168" fontId="12" fillId="6" borderId="0" xfId="2" applyNumberFormat="1" applyFont="1" applyFill="1" applyBorder="1" applyAlignment="1">
      <alignment horizontal="center" vertical="center"/>
    </xf>
    <xf numFmtId="0" fontId="13" fillId="7" borderId="5" xfId="1" applyFont="1" applyFill="1" applyBorder="1" applyAlignment="1">
      <alignment horizontal="center" vertical="center"/>
    </xf>
    <xf numFmtId="0" fontId="13" fillId="7" borderId="6" xfId="1" applyFont="1" applyFill="1" applyBorder="1" applyAlignment="1">
      <alignment horizontal="center" vertical="center"/>
    </xf>
    <xf numFmtId="0" fontId="13" fillId="7" borderId="7" xfId="1" applyFont="1" applyFill="1" applyBorder="1" applyAlignment="1">
      <alignment horizontal="center" vertical="center"/>
    </xf>
    <xf numFmtId="169" fontId="3" fillId="8" borderId="8" xfId="0" applyNumberFormat="1" applyFont="1" applyFill="1" applyBorder="1" applyAlignment="1">
      <alignment horizontal="center" vertical="center"/>
    </xf>
    <xf numFmtId="49" fontId="3" fillId="8" borderId="9" xfId="0" applyNumberFormat="1" applyFont="1" applyFill="1" applyBorder="1" applyAlignment="1">
      <alignment horizontal="center" vertical="center"/>
    </xf>
    <xf numFmtId="168" fontId="3" fillId="8" borderId="10" xfId="0" applyNumberFormat="1" applyFont="1" applyFill="1" applyBorder="1" applyAlignment="1">
      <alignment horizontal="center" vertical="center"/>
    </xf>
    <xf numFmtId="0" fontId="2" fillId="3" borderId="2" xfId="2" applyBorder="1" applyAlignment="1" applyProtection="1">
      <alignment horizontal="left"/>
      <protection locked="0"/>
    </xf>
    <xf numFmtId="164" fontId="2" fillId="3" borderId="2" xfId="2" applyNumberFormat="1" applyBorder="1" applyAlignment="1" applyProtection="1">
      <alignment horizontal="left"/>
      <protection locked="0"/>
    </xf>
    <xf numFmtId="14" fontId="2" fillId="3" borderId="2" xfId="2" applyNumberFormat="1" applyBorder="1" applyAlignment="1" applyProtection="1">
      <alignment horizontal="left"/>
      <protection locked="0"/>
    </xf>
    <xf numFmtId="165" fontId="2" fillId="3" borderId="2" xfId="2" applyNumberFormat="1" applyBorder="1" applyAlignment="1" applyProtection="1">
      <alignment horizontal="left"/>
      <protection locked="0"/>
    </xf>
    <xf numFmtId="166" fontId="2" fillId="3" borderId="2" xfId="2" applyNumberFormat="1" applyBorder="1" applyAlignment="1" applyProtection="1">
      <alignment horizontal="left"/>
      <protection locked="0"/>
    </xf>
    <xf numFmtId="167" fontId="2" fillId="3" borderId="2" xfId="2" applyNumberFormat="1" applyBorder="1" applyAlignment="1" applyProtection="1">
      <alignment horizontal="left"/>
      <protection locked="0"/>
    </xf>
    <xf numFmtId="0" fontId="6" fillId="3" borderId="2" xfId="3" applyFill="1" applyBorder="1" applyAlignment="1" applyProtection="1">
      <alignment horizontal="left"/>
      <protection locked="0"/>
    </xf>
    <xf numFmtId="168" fontId="11" fillId="3" borderId="0" xfId="2" applyNumberFormat="1" applyFont="1" applyBorder="1" applyAlignment="1" applyProtection="1">
      <alignment horizontal="center"/>
      <protection locked="0"/>
    </xf>
    <xf numFmtId="0" fontId="11" fillId="3" borderId="0" xfId="2" applyFont="1" applyBorder="1" applyAlignment="1" applyProtection="1">
      <alignment horizontal="center"/>
      <protection locked="0"/>
    </xf>
    <xf numFmtId="0" fontId="2" fillId="3" borderId="2" xfId="2" applyBorder="1" applyAlignment="1" applyProtection="1">
      <alignment horizontal="left" vertical="top"/>
      <protection locked="0"/>
    </xf>
    <xf numFmtId="168" fontId="2" fillId="3" borderId="2" xfId="4" applyNumberFormat="1" applyFont="1" applyFill="1" applyBorder="1" applyAlignment="1" applyProtection="1">
      <alignment horizontal="left" vertical="top"/>
      <protection locked="0"/>
    </xf>
    <xf numFmtId="14" fontId="2" fillId="3" borderId="2" xfId="2" applyNumberFormat="1" applyBorder="1" applyAlignment="1" applyProtection="1">
      <alignment horizontal="left" vertical="top"/>
      <protection locked="0"/>
    </xf>
    <xf numFmtId="169" fontId="3" fillId="8" borderId="0" xfId="0" applyNumberFormat="1" applyFont="1" applyFill="1" applyAlignment="1" applyProtection="1">
      <alignment horizontal="center" vertical="center"/>
      <protection locked="0"/>
    </xf>
    <xf numFmtId="49" fontId="3" fillId="8" borderId="0" xfId="0" applyNumberFormat="1" applyFont="1" applyFill="1" applyAlignment="1" applyProtection="1">
      <alignment horizontal="center" vertical="center"/>
      <protection locked="0"/>
    </xf>
    <xf numFmtId="168" fontId="3" fillId="8" borderId="0" xfId="0" applyNumberFormat="1" applyFont="1" applyFill="1" applyAlignment="1" applyProtection="1">
      <alignment horizontal="center" vertical="center"/>
      <protection locked="0"/>
    </xf>
  </cellXfs>
  <cellStyles count="5">
    <cellStyle name="Hiperlink" xfId="3" builtinId="8"/>
    <cellStyle name="Moeda" xfId="4" builtinId="4"/>
    <cellStyle name="Neutra" xfId="2" builtinId="28"/>
    <cellStyle name="Normal" xfId="0" builtinId="0"/>
    <cellStyle name="Título 1" xfId="1" builtinId="16"/>
  </cellStyles>
  <dxfs count="5">
    <dxf>
      <font>
        <strike val="0"/>
        <outline val="0"/>
        <shadow val="0"/>
        <u val="none"/>
        <vertAlign val="baseline"/>
        <sz val="11"/>
        <color theme="1"/>
        <name val="Segoe UI Light"/>
        <scheme val="none"/>
      </font>
      <fill>
        <patternFill patternType="solid">
          <fgColor indexed="64"/>
          <bgColor rgb="FFFDA5F3"/>
        </patternFill>
      </fill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Segoe UI Light"/>
        <scheme val="none"/>
      </font>
      <numFmt numFmtId="168" formatCode="&quot;R$&quot;\ #,##0.00"/>
      <fill>
        <patternFill patternType="solid">
          <fgColor indexed="64"/>
          <bgColor rgb="FFFDA5F3"/>
        </patternFill>
      </fill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Segoe UI Light"/>
        <scheme val="none"/>
      </font>
      <numFmt numFmtId="30" formatCode="@"/>
      <fill>
        <patternFill patternType="solid">
          <fgColor indexed="64"/>
          <bgColor rgb="FFFDA5F3"/>
        </patternFill>
      </fill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Segoe UI Light"/>
        <scheme val="none"/>
      </font>
      <fill>
        <patternFill patternType="solid">
          <fgColor indexed="64"/>
          <bgColor rgb="FFFDA5F3"/>
        </patternFill>
      </fill>
      <alignment horizontal="center" vertical="center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0"/>
        <name val="Calibri"/>
        <scheme val="minor"/>
      </font>
      <fill>
        <patternFill patternType="solid">
          <fgColor indexed="64"/>
          <bgColor rgb="FF9900CC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FDA5F3"/>
      <color rgb="FF9900CC"/>
      <color rgb="FFFA1EE0"/>
      <color rgb="FFFFCCFF"/>
      <color rgb="FFFF66FF"/>
      <color rgb="FFE905CE"/>
      <color rgb="FF49494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Entradas - Janeiro/2026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NOTAS!$E$26</c:f>
              <c:strCache>
                <c:ptCount val="1"/>
                <c:pt idx="0">
                  <c:v>Valor 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multiLvlStrRef>
              <c:f>NOTAS!$C$27:$D$30</c:f>
              <c:multiLvlStrCache>
                <c:ptCount val="4"/>
                <c:lvl>
                  <c:pt idx="1">
                    <c:v>CNPJ</c:v>
                  </c:pt>
                  <c:pt idx="2">
                    <c:v>FREELANCE</c:v>
                  </c:pt>
                  <c:pt idx="3">
                    <c:v>HOLERITE</c:v>
                  </c:pt>
                </c:lvl>
                <c:lvl>
                  <c:pt idx="0">
                    <c:v>Janeiro/2026:</c:v>
                  </c:pt>
                </c:lvl>
              </c:multiLvlStrCache>
            </c:multiLvlStrRef>
          </c:cat>
          <c:val>
            <c:numRef>
              <c:f>NOTAS!$E$27:$E$30</c:f>
              <c:numCache>
                <c:formatCode>"R$"\ #,##0.00</c:formatCode>
                <c:ptCount val="4"/>
                <c:pt idx="1">
                  <c:v>68000</c:v>
                </c:pt>
                <c:pt idx="2">
                  <c:v>30000</c:v>
                </c:pt>
                <c:pt idx="3">
                  <c:v>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9E-4ABD-81B5-2A1FEC0D8FD1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Entradas - Fevereiro/2026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multiLvlStrRef>
              <c:f>NOTAS!$C$31:$D$34</c:f>
              <c:multiLvlStrCache>
                <c:ptCount val="4"/>
                <c:lvl>
                  <c:pt idx="1">
                    <c:v>CNPJ</c:v>
                  </c:pt>
                  <c:pt idx="2">
                    <c:v>FREELANCE</c:v>
                  </c:pt>
                  <c:pt idx="3">
                    <c:v>HOLERITE</c:v>
                  </c:pt>
                </c:lvl>
                <c:lvl>
                  <c:pt idx="0">
                    <c:v>Fevereiro/2026:</c:v>
                  </c:pt>
                </c:lvl>
              </c:multiLvlStrCache>
            </c:multiLvlStrRef>
          </c:cat>
          <c:val>
            <c:numRef>
              <c:f>NOTAS!$E$31:$E$34</c:f>
              <c:numCache>
                <c:formatCode>"R$"\ #,##0.00</c:formatCode>
                <c:ptCount val="4"/>
                <c:pt idx="1">
                  <c:v>147750</c:v>
                </c:pt>
                <c:pt idx="2">
                  <c:v>15000</c:v>
                </c:pt>
                <c:pt idx="3">
                  <c:v>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66-4A02-8F78-EB5D72280F55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2" Type="http://schemas.openxmlformats.org/officeDocument/2006/relationships/hyperlink" Target="#TITULAR!C1"/><Relationship Id="rId1" Type="http://schemas.openxmlformats.org/officeDocument/2006/relationships/image" Target="../media/image1.png"/><Relationship Id="rId6" Type="http://schemas.openxmlformats.org/officeDocument/2006/relationships/image" Target="../media/image2.png"/><Relationship Id="rId5" Type="http://schemas.openxmlformats.org/officeDocument/2006/relationships/hyperlink" Target="https://www.linkedin.com/in/camila-ferreira-cavalcante-55a07765/" TargetMode="External"/><Relationship Id="rId4" Type="http://schemas.openxmlformats.org/officeDocument/2006/relationships/hyperlink" Target="#NOTAS!C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2" Type="http://schemas.openxmlformats.org/officeDocument/2006/relationships/hyperlink" Target="#TITULAR!C1"/><Relationship Id="rId1" Type="http://schemas.openxmlformats.org/officeDocument/2006/relationships/image" Target="../media/image1.png"/><Relationship Id="rId6" Type="http://schemas.openxmlformats.org/officeDocument/2006/relationships/image" Target="../media/image2.png"/><Relationship Id="rId5" Type="http://schemas.openxmlformats.org/officeDocument/2006/relationships/hyperlink" Target="https://www.linkedin.com/in/camila-ferreira-cavalcante-55a07765/" TargetMode="External"/><Relationship Id="rId4" Type="http://schemas.openxmlformats.org/officeDocument/2006/relationships/hyperlink" Target="#NOTAS!C1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.xml"/><Relationship Id="rId3" Type="http://schemas.openxmlformats.org/officeDocument/2006/relationships/hyperlink" Target="#INFORMES!C1"/><Relationship Id="rId7" Type="http://schemas.openxmlformats.org/officeDocument/2006/relationships/chart" Target="../charts/chart1.xml"/><Relationship Id="rId2" Type="http://schemas.openxmlformats.org/officeDocument/2006/relationships/hyperlink" Target="#TITULAR!C1"/><Relationship Id="rId1" Type="http://schemas.openxmlformats.org/officeDocument/2006/relationships/image" Target="../media/image1.png"/><Relationship Id="rId6" Type="http://schemas.openxmlformats.org/officeDocument/2006/relationships/image" Target="../media/image2.png"/><Relationship Id="rId5" Type="http://schemas.openxmlformats.org/officeDocument/2006/relationships/hyperlink" Target="https://www.linkedin.com/in/camila-ferreira-cavalcante-55a07765/" TargetMode="External"/><Relationship Id="rId4" Type="http://schemas.openxmlformats.org/officeDocument/2006/relationships/hyperlink" Target="#NOTAS!C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342900</xdr:colOff>
      <xdr:row>4</xdr:row>
      <xdr:rowOff>161925</xdr:rowOff>
    </xdr:from>
    <xdr:to>
      <xdr:col>0</xdr:col>
      <xdr:colOff>2124074</xdr:colOff>
      <xdr:row>13</xdr:row>
      <xdr:rowOff>57149</xdr:rowOff>
    </xdr:to>
    <xdr:pic>
      <xdr:nvPicPr>
        <xdr:cNvPr id="2" name="Imagem 1" descr="Lion - Free animals icons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2900" y="1076325"/>
          <a:ext cx="1781174" cy="17811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0</xdr:colOff>
      <xdr:row>1</xdr:row>
      <xdr:rowOff>66676</xdr:rowOff>
    </xdr:from>
    <xdr:to>
      <xdr:col>0</xdr:col>
      <xdr:colOff>2466975</xdr:colOff>
      <xdr:row>3</xdr:row>
      <xdr:rowOff>200026</xdr:rowOff>
    </xdr:to>
    <xdr:sp macro="" textlink="">
      <xdr:nvSpPr>
        <xdr:cNvPr id="4" name="CaixaDeTexto 3"/>
        <xdr:cNvSpPr txBox="1"/>
      </xdr:nvSpPr>
      <xdr:spPr>
        <a:xfrm>
          <a:off x="0" y="257176"/>
          <a:ext cx="2466975" cy="6096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2000" b="1">
              <a:gradFill flip="none" rotWithShape="1">
                <a:gsLst>
                  <a:gs pos="0">
                    <a:srgbClr val="7030A0"/>
                  </a:gs>
                  <a:gs pos="46000">
                    <a:srgbClr val="E905CE"/>
                  </a:gs>
                  <a:gs pos="100000">
                    <a:schemeClr val="bg1"/>
                  </a:gs>
                </a:gsLst>
                <a:lin ang="10800000" scaled="1"/>
                <a:tileRect/>
              </a:gradFill>
              <a:effectLst>
                <a:glow>
                  <a:schemeClr val="accent1">
                    <a:alpha val="40000"/>
                  </a:schemeClr>
                </a:glow>
              </a:effectLst>
              <a:latin typeface="Arial Black" panose="020B0A04020102020204" pitchFamily="34" charset="0"/>
              <a:cs typeface="Arial" panose="020B0604020202020204" pitchFamily="34" charset="0"/>
            </a:rPr>
            <a:t>LION APP</a:t>
          </a:r>
        </a:p>
      </xdr:txBody>
    </xdr:sp>
    <xdr:clientData/>
  </xdr:twoCellAnchor>
  <xdr:twoCellAnchor editAs="absolute">
    <xdr:from>
      <xdr:col>0</xdr:col>
      <xdr:colOff>252413</xdr:colOff>
      <xdr:row>15</xdr:row>
      <xdr:rowOff>38100</xdr:rowOff>
    </xdr:from>
    <xdr:to>
      <xdr:col>0</xdr:col>
      <xdr:colOff>2243138</xdr:colOff>
      <xdr:row>17</xdr:row>
      <xdr:rowOff>57150</xdr:rowOff>
    </xdr:to>
    <xdr:sp macro="" textlink="">
      <xdr:nvSpPr>
        <xdr:cNvPr id="5" name="Retângulo Arredondado 4">
          <a:hlinkClick xmlns:r="http://schemas.openxmlformats.org/officeDocument/2006/relationships" r:id="rId2"/>
        </xdr:cNvPr>
        <xdr:cNvSpPr/>
      </xdr:nvSpPr>
      <xdr:spPr>
        <a:xfrm>
          <a:off x="252413" y="3257550"/>
          <a:ext cx="1990725" cy="438150"/>
        </a:xfrm>
        <a:prstGeom prst="roundRect">
          <a:avLst>
            <a:gd name="adj" fmla="val 50000"/>
          </a:avLst>
        </a:prstGeom>
        <a:gradFill>
          <a:gsLst>
            <a:gs pos="9000">
              <a:srgbClr val="7030A0">
                <a:alpha val="79000"/>
                <a:lumMod val="63000"/>
                <a:lumOff val="37000"/>
              </a:srgbClr>
            </a:gs>
            <a:gs pos="48000">
              <a:srgbClr val="FA1EE0"/>
            </a:gs>
          </a:gsLst>
          <a:lin ang="10800000" scaled="1"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>
              <a:latin typeface="Segoe UI" panose="020B0502040204020203" pitchFamily="34" charset="0"/>
              <a:cs typeface="Segoe UI" panose="020B0502040204020203" pitchFamily="34" charset="0"/>
            </a:rPr>
            <a:t>TITULAR</a:t>
          </a:r>
        </a:p>
      </xdr:txBody>
    </xdr:sp>
    <xdr:clientData/>
  </xdr:twoCellAnchor>
  <xdr:twoCellAnchor editAs="absolute">
    <xdr:from>
      <xdr:col>0</xdr:col>
      <xdr:colOff>252413</xdr:colOff>
      <xdr:row>18</xdr:row>
      <xdr:rowOff>147637</xdr:rowOff>
    </xdr:from>
    <xdr:to>
      <xdr:col>0</xdr:col>
      <xdr:colOff>2243138</xdr:colOff>
      <xdr:row>21</xdr:row>
      <xdr:rowOff>14287</xdr:rowOff>
    </xdr:to>
    <xdr:sp macro="" textlink="">
      <xdr:nvSpPr>
        <xdr:cNvPr id="6" name="Retângulo Arredondado 5">
          <a:hlinkClick xmlns:r="http://schemas.openxmlformats.org/officeDocument/2006/relationships" r:id="rId3"/>
        </xdr:cNvPr>
        <xdr:cNvSpPr/>
      </xdr:nvSpPr>
      <xdr:spPr>
        <a:xfrm>
          <a:off x="252413" y="3976687"/>
          <a:ext cx="1990725" cy="43815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>
              <a:latin typeface="Segoe UI" panose="020B0502040204020203" pitchFamily="34" charset="0"/>
              <a:cs typeface="Segoe UI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252413</xdr:colOff>
      <xdr:row>22</xdr:row>
      <xdr:rowOff>104775</xdr:rowOff>
    </xdr:from>
    <xdr:to>
      <xdr:col>0</xdr:col>
      <xdr:colOff>2243138</xdr:colOff>
      <xdr:row>24</xdr:row>
      <xdr:rowOff>161925</xdr:rowOff>
    </xdr:to>
    <xdr:sp macro="" textlink="">
      <xdr:nvSpPr>
        <xdr:cNvPr id="7" name="Retângulo Arredondado 6">
          <a:hlinkClick xmlns:r="http://schemas.openxmlformats.org/officeDocument/2006/relationships" r:id="rId4"/>
        </xdr:cNvPr>
        <xdr:cNvSpPr/>
      </xdr:nvSpPr>
      <xdr:spPr>
        <a:xfrm>
          <a:off x="252413" y="4695825"/>
          <a:ext cx="1990725" cy="43815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>
              <a:latin typeface="Segoe UI" panose="020B0502040204020203" pitchFamily="34" charset="0"/>
              <a:cs typeface="Segoe UI" panose="020B0502040204020203" pitchFamily="34" charset="0"/>
            </a:rPr>
            <a:t>NOTAS</a:t>
          </a:r>
        </a:p>
      </xdr:txBody>
    </xdr:sp>
    <xdr:clientData/>
  </xdr:twoCellAnchor>
  <xdr:twoCellAnchor>
    <xdr:from>
      <xdr:col>0</xdr:col>
      <xdr:colOff>504825</xdr:colOff>
      <xdr:row>25</xdr:row>
      <xdr:rowOff>171450</xdr:rowOff>
    </xdr:from>
    <xdr:to>
      <xdr:col>0</xdr:col>
      <xdr:colOff>2000250</xdr:colOff>
      <xdr:row>27</xdr:row>
      <xdr:rowOff>85725</xdr:rowOff>
    </xdr:to>
    <xdr:sp macro="" textlink="">
      <xdr:nvSpPr>
        <xdr:cNvPr id="10" name="CaixaDeTexto 9"/>
        <xdr:cNvSpPr txBox="1"/>
      </xdr:nvSpPr>
      <xdr:spPr>
        <a:xfrm>
          <a:off x="504825" y="5638800"/>
          <a:ext cx="1495425" cy="2952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 b="1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  <a:t>SYSTEM BY CFSC </a:t>
          </a:r>
          <a:r>
            <a:rPr lang="pt-BR" sz="1100" b="1">
              <a:solidFill>
                <a:srgbClr val="9900CC"/>
              </a:solidFill>
              <a:latin typeface="Segoe UI" panose="020B0502040204020203" pitchFamily="34" charset="0"/>
              <a:cs typeface="Segoe UI" panose="020B0502040204020203" pitchFamily="34" charset="0"/>
            </a:rPr>
            <a:t>💜</a:t>
          </a:r>
        </a:p>
      </xdr:txBody>
    </xdr:sp>
    <xdr:clientData/>
  </xdr:twoCellAnchor>
  <xdr:twoCellAnchor editAs="absolute">
    <xdr:from>
      <xdr:col>0</xdr:col>
      <xdr:colOff>371475</xdr:colOff>
      <xdr:row>27</xdr:row>
      <xdr:rowOff>28575</xdr:rowOff>
    </xdr:from>
    <xdr:to>
      <xdr:col>0</xdr:col>
      <xdr:colOff>2133600</xdr:colOff>
      <xdr:row>27</xdr:row>
      <xdr:rowOff>28575</xdr:rowOff>
    </xdr:to>
    <xdr:cxnSp macro="">
      <xdr:nvCxnSpPr>
        <xdr:cNvPr id="12" name="Conector reto 11"/>
        <xdr:cNvCxnSpPr/>
      </xdr:nvCxnSpPr>
      <xdr:spPr>
        <a:xfrm>
          <a:off x="371475" y="5572125"/>
          <a:ext cx="1762125" cy="0"/>
        </a:xfrm>
        <a:prstGeom prst="line">
          <a:avLst/>
        </a:prstGeom>
        <a:ln w="9525">
          <a:solidFill>
            <a:srgbClr val="9900CC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304800</xdr:colOff>
      <xdr:row>20</xdr:row>
      <xdr:rowOff>114300</xdr:rowOff>
    </xdr:to>
    <xdr:sp macro="" textlink="">
      <xdr:nvSpPr>
        <xdr:cNvPr id="1029" name="AutoShape 5" descr="HD White Round Outline Linkedin IN Icon Symbol PNG | Citypng"/>
        <xdr:cNvSpPr>
          <a:spLocks noChangeAspect="1" noChangeArrowheads="1"/>
        </xdr:cNvSpPr>
      </xdr:nvSpPr>
      <xdr:spPr bwMode="auto">
        <a:xfrm>
          <a:off x="3133725" y="323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304800</xdr:colOff>
      <xdr:row>20</xdr:row>
      <xdr:rowOff>114300</xdr:rowOff>
    </xdr:to>
    <xdr:sp macro="" textlink="">
      <xdr:nvSpPr>
        <xdr:cNvPr id="1030" name="AutoShape 6" descr="HD White Round Outline Linkedin IN Icon Symbol PNG | Citypng"/>
        <xdr:cNvSpPr>
          <a:spLocks noChangeAspect="1" noChangeArrowheads="1"/>
        </xdr:cNvSpPr>
      </xdr:nvSpPr>
      <xdr:spPr bwMode="auto">
        <a:xfrm>
          <a:off x="3133725" y="323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0</xdr:col>
      <xdr:colOff>889000</xdr:colOff>
      <xdr:row>31</xdr:row>
      <xdr:rowOff>44450</xdr:rowOff>
    </xdr:from>
    <xdr:to>
      <xdr:col>0</xdr:col>
      <xdr:colOff>1670049</xdr:colOff>
      <xdr:row>35</xdr:row>
      <xdr:rowOff>63499</xdr:rowOff>
    </xdr:to>
    <xdr:pic>
      <xdr:nvPicPr>
        <xdr:cNvPr id="29" name="icon_lkd" descr="HD White Round Outline Linkedin IN Icon Symbol PNG | Citypng">
          <a:hlinkClick xmlns:r="http://schemas.openxmlformats.org/officeDocument/2006/relationships" r:id="rId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9000" y="6350000"/>
          <a:ext cx="781049" cy="7810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304800</xdr:colOff>
      <xdr:row>38</xdr:row>
      <xdr:rowOff>114300</xdr:rowOff>
    </xdr:to>
    <xdr:sp macro="" textlink="">
      <xdr:nvSpPr>
        <xdr:cNvPr id="1040" name="AutoShape 16" descr="HD Square White Outline Linkedin Icon PNG | Citypng"/>
        <xdr:cNvSpPr>
          <a:spLocks noChangeAspect="1" noChangeArrowheads="1"/>
        </xdr:cNvSpPr>
      </xdr:nvSpPr>
      <xdr:spPr bwMode="auto">
        <a:xfrm>
          <a:off x="3743325" y="666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12</xdr:row>
      <xdr:rowOff>0</xdr:rowOff>
    </xdr:from>
    <xdr:to>
      <xdr:col>4</xdr:col>
      <xdr:colOff>304800</xdr:colOff>
      <xdr:row>13</xdr:row>
      <xdr:rowOff>95250</xdr:rowOff>
    </xdr:to>
    <xdr:sp macro="" textlink="">
      <xdr:nvSpPr>
        <xdr:cNvPr id="1041" name="AutoShape 17" descr="HD Square White Outline Linkedin Icon PNG | Citypng"/>
        <xdr:cNvSpPr>
          <a:spLocks noChangeAspect="1" noChangeArrowheads="1"/>
        </xdr:cNvSpPr>
      </xdr:nvSpPr>
      <xdr:spPr bwMode="auto">
        <a:xfrm>
          <a:off x="4352925" y="190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12</xdr:row>
      <xdr:rowOff>0</xdr:rowOff>
    </xdr:from>
    <xdr:to>
      <xdr:col>4</xdr:col>
      <xdr:colOff>304800</xdr:colOff>
      <xdr:row>13</xdr:row>
      <xdr:rowOff>95250</xdr:rowOff>
    </xdr:to>
    <xdr:sp macro="" textlink="">
      <xdr:nvSpPr>
        <xdr:cNvPr id="1042" name="AutoShape 18" descr="HD Square White Outline Linkedin Icon PNG | Citypng"/>
        <xdr:cNvSpPr>
          <a:spLocks noChangeAspect="1" noChangeArrowheads="1"/>
        </xdr:cNvSpPr>
      </xdr:nvSpPr>
      <xdr:spPr bwMode="auto">
        <a:xfrm>
          <a:off x="4352925" y="190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3</xdr:col>
      <xdr:colOff>266700</xdr:colOff>
      <xdr:row>19</xdr:row>
      <xdr:rowOff>38100</xdr:rowOff>
    </xdr:from>
    <xdr:to>
      <xdr:col>4</xdr:col>
      <xdr:colOff>76200</xdr:colOff>
      <xdr:row>21</xdr:row>
      <xdr:rowOff>142875</xdr:rowOff>
    </xdr:to>
    <xdr:sp macro="" textlink="">
      <xdr:nvSpPr>
        <xdr:cNvPr id="3" name="Retângulo 2">
          <a:hlinkClick xmlns:r="http://schemas.openxmlformats.org/officeDocument/2006/relationships" r:id="rId3"/>
        </xdr:cNvPr>
        <xdr:cNvSpPr/>
      </xdr:nvSpPr>
      <xdr:spPr>
        <a:xfrm>
          <a:off x="6353175" y="4057650"/>
          <a:ext cx="3448050" cy="485775"/>
        </a:xfrm>
        <a:prstGeom prst="rect">
          <a:avLst/>
        </a:prstGeom>
        <a:solidFill>
          <a:srgbClr val="9900CC"/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PRÓXIMO -&gt;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342900</xdr:colOff>
      <xdr:row>4</xdr:row>
      <xdr:rowOff>161925</xdr:rowOff>
    </xdr:from>
    <xdr:to>
      <xdr:col>0</xdr:col>
      <xdr:colOff>2124074</xdr:colOff>
      <xdr:row>12</xdr:row>
      <xdr:rowOff>190499</xdr:rowOff>
    </xdr:to>
    <xdr:pic>
      <xdr:nvPicPr>
        <xdr:cNvPr id="2" name="Imagem 1" descr="Lion - Free animals icons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2900" y="1076325"/>
          <a:ext cx="1781174" cy="17811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0</xdr:colOff>
      <xdr:row>1</xdr:row>
      <xdr:rowOff>66676</xdr:rowOff>
    </xdr:from>
    <xdr:to>
      <xdr:col>0</xdr:col>
      <xdr:colOff>2466975</xdr:colOff>
      <xdr:row>3</xdr:row>
      <xdr:rowOff>200026</xdr:rowOff>
    </xdr:to>
    <xdr:sp macro="" textlink="">
      <xdr:nvSpPr>
        <xdr:cNvPr id="3" name="CaixaDeTexto 2"/>
        <xdr:cNvSpPr txBox="1"/>
      </xdr:nvSpPr>
      <xdr:spPr>
        <a:xfrm>
          <a:off x="0" y="257176"/>
          <a:ext cx="2466975" cy="6096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2000" b="1">
              <a:gradFill flip="none" rotWithShape="1">
                <a:gsLst>
                  <a:gs pos="0">
                    <a:srgbClr val="7030A0"/>
                  </a:gs>
                  <a:gs pos="46000">
                    <a:srgbClr val="E905CE"/>
                  </a:gs>
                  <a:gs pos="100000">
                    <a:schemeClr val="bg1"/>
                  </a:gs>
                </a:gsLst>
                <a:lin ang="10800000" scaled="1"/>
                <a:tileRect/>
              </a:gradFill>
              <a:effectLst>
                <a:glow>
                  <a:schemeClr val="accent1">
                    <a:alpha val="40000"/>
                  </a:schemeClr>
                </a:glow>
              </a:effectLst>
              <a:latin typeface="Arial Black" panose="020B0A04020102020204" pitchFamily="34" charset="0"/>
              <a:cs typeface="Arial" panose="020B0604020202020204" pitchFamily="34" charset="0"/>
            </a:rPr>
            <a:t>LION APP</a:t>
          </a:r>
        </a:p>
      </xdr:txBody>
    </xdr:sp>
    <xdr:clientData/>
  </xdr:twoCellAnchor>
  <xdr:twoCellAnchor editAs="absolute">
    <xdr:from>
      <xdr:col>0</xdr:col>
      <xdr:colOff>252413</xdr:colOff>
      <xdr:row>14</xdr:row>
      <xdr:rowOff>133350</xdr:rowOff>
    </xdr:from>
    <xdr:to>
      <xdr:col>0</xdr:col>
      <xdr:colOff>2243138</xdr:colOff>
      <xdr:row>16</xdr:row>
      <xdr:rowOff>152400</xdr:rowOff>
    </xdr:to>
    <xdr:sp macro="" textlink="">
      <xdr:nvSpPr>
        <xdr:cNvPr id="4" name="Retângulo Arredondado 3">
          <a:hlinkClick xmlns:r="http://schemas.openxmlformats.org/officeDocument/2006/relationships" r:id="rId2"/>
        </xdr:cNvPr>
        <xdr:cNvSpPr/>
      </xdr:nvSpPr>
      <xdr:spPr>
        <a:xfrm>
          <a:off x="252413" y="3257550"/>
          <a:ext cx="1990725" cy="43815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>
              <a:latin typeface="Segoe UI" panose="020B0502040204020203" pitchFamily="34" charset="0"/>
              <a:cs typeface="Segoe UI" panose="020B0502040204020203" pitchFamily="34" charset="0"/>
            </a:rPr>
            <a:t>TITULAR</a:t>
          </a:r>
        </a:p>
      </xdr:txBody>
    </xdr:sp>
    <xdr:clientData/>
  </xdr:twoCellAnchor>
  <xdr:twoCellAnchor editAs="absolute">
    <xdr:from>
      <xdr:col>0</xdr:col>
      <xdr:colOff>252413</xdr:colOff>
      <xdr:row>17</xdr:row>
      <xdr:rowOff>242887</xdr:rowOff>
    </xdr:from>
    <xdr:to>
      <xdr:col>0</xdr:col>
      <xdr:colOff>2243138</xdr:colOff>
      <xdr:row>20</xdr:row>
      <xdr:rowOff>14287</xdr:rowOff>
    </xdr:to>
    <xdr:sp macro="" textlink="">
      <xdr:nvSpPr>
        <xdr:cNvPr id="5" name="Retângulo Arredondado 4">
          <a:hlinkClick xmlns:r="http://schemas.openxmlformats.org/officeDocument/2006/relationships" r:id="rId3"/>
        </xdr:cNvPr>
        <xdr:cNvSpPr/>
      </xdr:nvSpPr>
      <xdr:spPr>
        <a:xfrm>
          <a:off x="252413" y="3976687"/>
          <a:ext cx="1990725" cy="438150"/>
        </a:xfrm>
        <a:prstGeom prst="roundRect">
          <a:avLst>
            <a:gd name="adj" fmla="val 50000"/>
          </a:avLst>
        </a:prstGeom>
        <a:gradFill>
          <a:gsLst>
            <a:gs pos="9000">
              <a:srgbClr val="7030A0">
                <a:alpha val="79000"/>
                <a:lumMod val="63000"/>
                <a:lumOff val="37000"/>
              </a:srgbClr>
            </a:gs>
            <a:gs pos="48000">
              <a:srgbClr val="FA1EE0"/>
            </a:gs>
          </a:gsLst>
          <a:lin ang="10800000" scaled="1"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>
              <a:latin typeface="Segoe UI" panose="020B0502040204020203" pitchFamily="34" charset="0"/>
              <a:cs typeface="Segoe UI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252413</xdr:colOff>
      <xdr:row>21</xdr:row>
      <xdr:rowOff>85725</xdr:rowOff>
    </xdr:from>
    <xdr:to>
      <xdr:col>0</xdr:col>
      <xdr:colOff>2243138</xdr:colOff>
      <xdr:row>23</xdr:row>
      <xdr:rowOff>142875</xdr:rowOff>
    </xdr:to>
    <xdr:sp macro="" textlink="">
      <xdr:nvSpPr>
        <xdr:cNvPr id="6" name="Retângulo Arredondado 5">
          <a:hlinkClick xmlns:r="http://schemas.openxmlformats.org/officeDocument/2006/relationships" r:id="rId4"/>
        </xdr:cNvPr>
        <xdr:cNvSpPr/>
      </xdr:nvSpPr>
      <xdr:spPr>
        <a:xfrm>
          <a:off x="252413" y="4695825"/>
          <a:ext cx="1990725" cy="43815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>
              <a:latin typeface="Segoe UI" panose="020B0502040204020203" pitchFamily="34" charset="0"/>
              <a:cs typeface="Segoe UI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495300</xdr:colOff>
      <xdr:row>26</xdr:row>
      <xdr:rowOff>0</xdr:rowOff>
    </xdr:from>
    <xdr:to>
      <xdr:col>0</xdr:col>
      <xdr:colOff>1990725</xdr:colOff>
      <xdr:row>27</xdr:row>
      <xdr:rowOff>104775</xdr:rowOff>
    </xdr:to>
    <xdr:sp macro="" textlink="">
      <xdr:nvSpPr>
        <xdr:cNvPr id="7" name="CaixaDeTexto 6"/>
        <xdr:cNvSpPr txBox="1"/>
      </xdr:nvSpPr>
      <xdr:spPr>
        <a:xfrm>
          <a:off x="495300" y="5562600"/>
          <a:ext cx="1495425" cy="2952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 b="1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  <a:t>SYSTEM BY CFSC </a:t>
          </a:r>
          <a:r>
            <a:rPr lang="pt-BR" sz="1100" b="1">
              <a:solidFill>
                <a:srgbClr val="9900CC"/>
              </a:solidFill>
              <a:latin typeface="Segoe UI" panose="020B0502040204020203" pitchFamily="34" charset="0"/>
              <a:cs typeface="Segoe UI" panose="020B0502040204020203" pitchFamily="34" charset="0"/>
            </a:rPr>
            <a:t>💜</a:t>
          </a:r>
        </a:p>
      </xdr:txBody>
    </xdr:sp>
    <xdr:clientData/>
  </xdr:twoCellAnchor>
  <xdr:twoCellAnchor editAs="absolute">
    <xdr:from>
      <xdr:col>0</xdr:col>
      <xdr:colOff>361950</xdr:colOff>
      <xdr:row>25</xdr:row>
      <xdr:rowOff>152400</xdr:rowOff>
    </xdr:from>
    <xdr:to>
      <xdr:col>0</xdr:col>
      <xdr:colOff>2124075</xdr:colOff>
      <xdr:row>25</xdr:row>
      <xdr:rowOff>152400</xdr:rowOff>
    </xdr:to>
    <xdr:cxnSp macro="">
      <xdr:nvCxnSpPr>
        <xdr:cNvPr id="8" name="Conector reto 7"/>
        <xdr:cNvCxnSpPr/>
      </xdr:nvCxnSpPr>
      <xdr:spPr>
        <a:xfrm>
          <a:off x="361950" y="5524500"/>
          <a:ext cx="1762125" cy="0"/>
        </a:xfrm>
        <a:prstGeom prst="line">
          <a:avLst/>
        </a:prstGeom>
        <a:ln w="9525">
          <a:solidFill>
            <a:srgbClr val="9900CC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771525</xdr:colOff>
      <xdr:row>28</xdr:row>
      <xdr:rowOff>123825</xdr:rowOff>
    </xdr:from>
    <xdr:to>
      <xdr:col>0</xdr:col>
      <xdr:colOff>1552574</xdr:colOff>
      <xdr:row>32</xdr:row>
      <xdr:rowOff>142874</xdr:rowOff>
    </xdr:to>
    <xdr:pic>
      <xdr:nvPicPr>
        <xdr:cNvPr id="9" name="Imagem 8" descr="HD White Round Outline Linkedin IN Icon Symbol PNG | Citypng">
          <a:hlinkClick xmlns:r="http://schemas.openxmlformats.org/officeDocument/2006/relationships" r:id="rId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1525" y="6067425"/>
          <a:ext cx="781049" cy="7810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3</xdr:col>
      <xdr:colOff>523875</xdr:colOff>
      <xdr:row>22</xdr:row>
      <xdr:rowOff>47625</xdr:rowOff>
    </xdr:from>
    <xdr:to>
      <xdr:col>4</xdr:col>
      <xdr:colOff>333375</xdr:colOff>
      <xdr:row>24</xdr:row>
      <xdr:rowOff>152400</xdr:rowOff>
    </xdr:to>
    <xdr:sp macro="" textlink="">
      <xdr:nvSpPr>
        <xdr:cNvPr id="11" name="Retângulo 10">
          <a:hlinkClick xmlns:r="http://schemas.openxmlformats.org/officeDocument/2006/relationships" r:id="rId4"/>
        </xdr:cNvPr>
        <xdr:cNvSpPr/>
      </xdr:nvSpPr>
      <xdr:spPr>
        <a:xfrm>
          <a:off x="6610350" y="4848225"/>
          <a:ext cx="3448050" cy="485775"/>
        </a:xfrm>
        <a:prstGeom prst="rect">
          <a:avLst/>
        </a:prstGeom>
        <a:solidFill>
          <a:srgbClr val="9900CC"/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PRÓXIMO -&gt;</a:t>
          </a:r>
        </a:p>
      </xdr:txBody>
    </xdr:sp>
    <xdr:clientData/>
  </xdr:twoCellAnchor>
  <xdr:twoCellAnchor editAs="absolute">
    <xdr:from>
      <xdr:col>1</xdr:col>
      <xdr:colOff>514350</xdr:colOff>
      <xdr:row>22</xdr:row>
      <xdr:rowOff>47625</xdr:rowOff>
    </xdr:from>
    <xdr:to>
      <xdr:col>3</xdr:col>
      <xdr:colOff>400050</xdr:colOff>
      <xdr:row>24</xdr:row>
      <xdr:rowOff>152400</xdr:rowOff>
    </xdr:to>
    <xdr:sp macro="" textlink="">
      <xdr:nvSpPr>
        <xdr:cNvPr id="12" name="Retângulo 11">
          <a:hlinkClick xmlns:r="http://schemas.openxmlformats.org/officeDocument/2006/relationships" r:id="rId2"/>
        </xdr:cNvPr>
        <xdr:cNvSpPr/>
      </xdr:nvSpPr>
      <xdr:spPr>
        <a:xfrm>
          <a:off x="3038475" y="4848225"/>
          <a:ext cx="3448050" cy="485775"/>
        </a:xfrm>
        <a:prstGeom prst="rect">
          <a:avLst/>
        </a:prstGeom>
        <a:solidFill>
          <a:srgbClr val="9900CC"/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&lt;- ANTERIOR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342900</xdr:colOff>
      <xdr:row>4</xdr:row>
      <xdr:rowOff>180975</xdr:rowOff>
    </xdr:from>
    <xdr:to>
      <xdr:col>0</xdr:col>
      <xdr:colOff>2124074</xdr:colOff>
      <xdr:row>12</xdr:row>
      <xdr:rowOff>209549</xdr:rowOff>
    </xdr:to>
    <xdr:pic>
      <xdr:nvPicPr>
        <xdr:cNvPr id="2" name="Imagem 1" descr="Lion - Free animals icons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2900" y="1076325"/>
          <a:ext cx="1781174" cy="17811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0</xdr:colOff>
      <xdr:row>1</xdr:row>
      <xdr:rowOff>66676</xdr:rowOff>
    </xdr:from>
    <xdr:to>
      <xdr:col>0</xdr:col>
      <xdr:colOff>2466975</xdr:colOff>
      <xdr:row>3</xdr:row>
      <xdr:rowOff>219076</xdr:rowOff>
    </xdr:to>
    <xdr:sp macro="" textlink="">
      <xdr:nvSpPr>
        <xdr:cNvPr id="3" name="CaixaDeTexto 2"/>
        <xdr:cNvSpPr txBox="1"/>
      </xdr:nvSpPr>
      <xdr:spPr>
        <a:xfrm>
          <a:off x="0" y="257176"/>
          <a:ext cx="2466975" cy="6096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2000" b="1">
              <a:gradFill flip="none" rotWithShape="1">
                <a:gsLst>
                  <a:gs pos="0">
                    <a:srgbClr val="7030A0"/>
                  </a:gs>
                  <a:gs pos="46000">
                    <a:srgbClr val="E905CE"/>
                  </a:gs>
                  <a:gs pos="100000">
                    <a:schemeClr val="bg1"/>
                  </a:gs>
                </a:gsLst>
                <a:lin ang="10800000" scaled="1"/>
                <a:tileRect/>
              </a:gradFill>
              <a:effectLst>
                <a:glow>
                  <a:schemeClr val="accent1">
                    <a:alpha val="40000"/>
                  </a:schemeClr>
                </a:glow>
              </a:effectLst>
              <a:latin typeface="Arial Black" panose="020B0A04020102020204" pitchFamily="34" charset="0"/>
              <a:cs typeface="Arial" panose="020B0604020202020204" pitchFamily="34" charset="0"/>
            </a:rPr>
            <a:t>LION APP</a:t>
          </a:r>
        </a:p>
      </xdr:txBody>
    </xdr:sp>
    <xdr:clientData/>
  </xdr:twoCellAnchor>
  <xdr:twoCellAnchor editAs="absolute">
    <xdr:from>
      <xdr:col>0</xdr:col>
      <xdr:colOff>252413</xdr:colOff>
      <xdr:row>14</xdr:row>
      <xdr:rowOff>190500</xdr:rowOff>
    </xdr:from>
    <xdr:to>
      <xdr:col>0</xdr:col>
      <xdr:colOff>2243138</xdr:colOff>
      <xdr:row>17</xdr:row>
      <xdr:rowOff>0</xdr:rowOff>
    </xdr:to>
    <xdr:sp macro="" textlink="">
      <xdr:nvSpPr>
        <xdr:cNvPr id="4" name="Retângulo Arredondado 3">
          <a:hlinkClick xmlns:r="http://schemas.openxmlformats.org/officeDocument/2006/relationships" r:id="rId2"/>
        </xdr:cNvPr>
        <xdr:cNvSpPr/>
      </xdr:nvSpPr>
      <xdr:spPr>
        <a:xfrm>
          <a:off x="252413" y="3257550"/>
          <a:ext cx="1990725" cy="43815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>
              <a:latin typeface="Segoe UI" panose="020B0502040204020203" pitchFamily="34" charset="0"/>
              <a:cs typeface="Segoe UI" panose="020B0502040204020203" pitchFamily="34" charset="0"/>
            </a:rPr>
            <a:t>TITULAR</a:t>
          </a:r>
        </a:p>
      </xdr:txBody>
    </xdr:sp>
    <xdr:clientData/>
  </xdr:twoCellAnchor>
  <xdr:twoCellAnchor editAs="absolute">
    <xdr:from>
      <xdr:col>0</xdr:col>
      <xdr:colOff>252413</xdr:colOff>
      <xdr:row>18</xdr:row>
      <xdr:rowOff>71437</xdr:rowOff>
    </xdr:from>
    <xdr:to>
      <xdr:col>0</xdr:col>
      <xdr:colOff>2243138</xdr:colOff>
      <xdr:row>20</xdr:row>
      <xdr:rowOff>90487</xdr:rowOff>
    </xdr:to>
    <xdr:sp macro="" textlink="">
      <xdr:nvSpPr>
        <xdr:cNvPr id="5" name="Retângulo Arredondado 4">
          <a:hlinkClick xmlns:r="http://schemas.openxmlformats.org/officeDocument/2006/relationships" r:id="rId3"/>
        </xdr:cNvPr>
        <xdr:cNvSpPr/>
      </xdr:nvSpPr>
      <xdr:spPr>
        <a:xfrm>
          <a:off x="252413" y="3976687"/>
          <a:ext cx="1990725" cy="43815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>
              <a:latin typeface="Segoe UI" panose="020B0502040204020203" pitchFamily="34" charset="0"/>
              <a:cs typeface="Segoe UI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252413</xdr:colOff>
      <xdr:row>21</xdr:row>
      <xdr:rowOff>161925</xdr:rowOff>
    </xdr:from>
    <xdr:to>
      <xdr:col>0</xdr:col>
      <xdr:colOff>2243138</xdr:colOff>
      <xdr:row>24</xdr:row>
      <xdr:rowOff>9525</xdr:rowOff>
    </xdr:to>
    <xdr:sp macro="" textlink="">
      <xdr:nvSpPr>
        <xdr:cNvPr id="6" name="Retângulo Arredondado 5">
          <a:hlinkClick xmlns:r="http://schemas.openxmlformats.org/officeDocument/2006/relationships" r:id="rId4"/>
        </xdr:cNvPr>
        <xdr:cNvSpPr/>
      </xdr:nvSpPr>
      <xdr:spPr>
        <a:xfrm>
          <a:off x="252413" y="4695825"/>
          <a:ext cx="1990725" cy="438150"/>
        </a:xfrm>
        <a:prstGeom prst="roundRect">
          <a:avLst>
            <a:gd name="adj" fmla="val 50000"/>
          </a:avLst>
        </a:prstGeom>
        <a:gradFill>
          <a:gsLst>
            <a:gs pos="9000">
              <a:srgbClr val="7030A0">
                <a:alpha val="79000"/>
                <a:lumMod val="63000"/>
                <a:lumOff val="37000"/>
              </a:srgbClr>
            </a:gs>
            <a:gs pos="48000">
              <a:srgbClr val="FA1EE0"/>
            </a:gs>
          </a:gsLst>
          <a:lin ang="10800000" scaled="1"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>
              <a:latin typeface="Segoe UI" panose="020B0502040204020203" pitchFamily="34" charset="0"/>
              <a:cs typeface="Segoe UI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495300</xdr:colOff>
      <xdr:row>25</xdr:row>
      <xdr:rowOff>228600</xdr:rowOff>
    </xdr:from>
    <xdr:to>
      <xdr:col>0</xdr:col>
      <xdr:colOff>1990725</xdr:colOff>
      <xdr:row>27</xdr:row>
      <xdr:rowOff>47625</xdr:rowOff>
    </xdr:to>
    <xdr:sp macro="" textlink="">
      <xdr:nvSpPr>
        <xdr:cNvPr id="7" name="CaixaDeTexto 6"/>
        <xdr:cNvSpPr txBox="1"/>
      </xdr:nvSpPr>
      <xdr:spPr>
        <a:xfrm>
          <a:off x="495300" y="5562600"/>
          <a:ext cx="1495425" cy="2952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 b="1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  <a:t>SYSTEM BY CFSC </a:t>
          </a:r>
          <a:r>
            <a:rPr lang="pt-BR" sz="1100" b="1">
              <a:solidFill>
                <a:srgbClr val="9900CC"/>
              </a:solidFill>
              <a:latin typeface="Segoe UI" panose="020B0502040204020203" pitchFamily="34" charset="0"/>
              <a:cs typeface="Segoe UI" panose="020B0502040204020203" pitchFamily="34" charset="0"/>
            </a:rPr>
            <a:t>💜</a:t>
          </a:r>
        </a:p>
      </xdr:txBody>
    </xdr:sp>
    <xdr:clientData/>
  </xdr:twoCellAnchor>
  <xdr:twoCellAnchor editAs="absolute">
    <xdr:from>
      <xdr:col>0</xdr:col>
      <xdr:colOff>361950</xdr:colOff>
      <xdr:row>25</xdr:row>
      <xdr:rowOff>190500</xdr:rowOff>
    </xdr:from>
    <xdr:to>
      <xdr:col>0</xdr:col>
      <xdr:colOff>2124075</xdr:colOff>
      <xdr:row>25</xdr:row>
      <xdr:rowOff>190500</xdr:rowOff>
    </xdr:to>
    <xdr:cxnSp macro="">
      <xdr:nvCxnSpPr>
        <xdr:cNvPr id="8" name="Conector reto 7"/>
        <xdr:cNvCxnSpPr/>
      </xdr:nvCxnSpPr>
      <xdr:spPr>
        <a:xfrm>
          <a:off x="361950" y="5524500"/>
          <a:ext cx="1762125" cy="0"/>
        </a:xfrm>
        <a:prstGeom prst="line">
          <a:avLst/>
        </a:prstGeom>
        <a:ln w="9525">
          <a:solidFill>
            <a:srgbClr val="9900CC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828675</xdr:colOff>
      <xdr:row>27</xdr:row>
      <xdr:rowOff>142875</xdr:rowOff>
    </xdr:from>
    <xdr:to>
      <xdr:col>0</xdr:col>
      <xdr:colOff>1609724</xdr:colOff>
      <xdr:row>31</xdr:row>
      <xdr:rowOff>85724</xdr:rowOff>
    </xdr:to>
    <xdr:pic>
      <xdr:nvPicPr>
        <xdr:cNvPr id="9" name="Imagem 8" descr="HD White Round Outline Linkedin IN Icon Symbol PNG | Citypng">
          <a:hlinkClick xmlns:r="http://schemas.openxmlformats.org/officeDocument/2006/relationships" r:id="rId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8675" y="5953125"/>
          <a:ext cx="781049" cy="7810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2</xdr:col>
      <xdr:colOff>0</xdr:colOff>
      <xdr:row>4</xdr:row>
      <xdr:rowOff>9525</xdr:rowOff>
    </xdr:from>
    <xdr:to>
      <xdr:col>3</xdr:col>
      <xdr:colOff>0</xdr:colOff>
      <xdr:row>4</xdr:row>
      <xdr:rowOff>228600</xdr:rowOff>
    </xdr:to>
    <xdr:sp macro="" textlink="">
      <xdr:nvSpPr>
        <xdr:cNvPr id="10" name="Retângulo 9">
          <a:hlinkClick xmlns:r="http://schemas.openxmlformats.org/officeDocument/2006/relationships" r:id="rId3"/>
        </xdr:cNvPr>
        <xdr:cNvSpPr/>
      </xdr:nvSpPr>
      <xdr:spPr>
        <a:xfrm>
          <a:off x="3133725" y="904875"/>
          <a:ext cx="1933575" cy="219075"/>
        </a:xfrm>
        <a:prstGeom prst="rect">
          <a:avLst/>
        </a:prstGeom>
        <a:solidFill>
          <a:srgbClr val="9900CC"/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&lt;- ANTERIOR</a:t>
          </a:r>
        </a:p>
      </xdr:txBody>
    </xdr:sp>
    <xdr:clientData/>
  </xdr:twoCellAnchor>
  <xdr:twoCellAnchor>
    <xdr:from>
      <xdr:col>5</xdr:col>
      <xdr:colOff>342900</xdr:colOff>
      <xdr:row>0</xdr:row>
      <xdr:rowOff>114300</xdr:rowOff>
    </xdr:from>
    <xdr:to>
      <xdr:col>12</xdr:col>
      <xdr:colOff>333375</xdr:colOff>
      <xdr:row>11</xdr:row>
      <xdr:rowOff>95250</xdr:rowOff>
    </xdr:to>
    <xdr:graphicFrame macro="">
      <xdr:nvGraphicFramePr>
        <xdr:cNvPr id="15" name="Gráfico 1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5</xdr:col>
      <xdr:colOff>342900</xdr:colOff>
      <xdr:row>11</xdr:row>
      <xdr:rowOff>161924</xdr:rowOff>
    </xdr:from>
    <xdr:to>
      <xdr:col>12</xdr:col>
      <xdr:colOff>333375</xdr:colOff>
      <xdr:row>24</xdr:row>
      <xdr:rowOff>104774</xdr:rowOff>
    </xdr:to>
    <xdr:graphicFrame macro="">
      <xdr:nvGraphicFramePr>
        <xdr:cNvPr id="16" name="Gráfico 1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ela1" displayName="Tabela1" ref="C7:E22" totalsRowShown="0" headerRowDxfId="4" dataDxfId="0" headerRowCellStyle="Título 1">
  <autoFilter ref="C7:E22"/>
  <tableColumns count="3">
    <tableColumn id="1" name="DATA" dataDxfId="3"/>
    <tableColumn id="2" name="CATEGORIA" dataDxfId="2"/>
    <tableColumn id="3" name="VALOR" dataDxfId="1"/>
  </tableColumns>
  <tableStyleInfo name="TableStyleMedium10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ma.rita@gmail.com?subject=Precisamos%20falar%20sobre%20sua%20declara&#231;&#227;o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1"/>
  <dimension ref="A2:D17"/>
  <sheetViews>
    <sheetView showGridLines="0" showRowColHeaders="0" tabSelected="1" workbookViewId="0">
      <selection activeCell="D6" sqref="D6"/>
    </sheetView>
  </sheetViews>
  <sheetFormatPr defaultRowHeight="15" x14ac:dyDescent="0.25"/>
  <cols>
    <col min="1" max="1" width="37.85546875" style="1" customWidth="1"/>
    <col min="3" max="3" width="44.28515625" bestFit="1" customWidth="1"/>
    <col min="4" max="4" width="54.5703125" customWidth="1"/>
  </cols>
  <sheetData>
    <row r="2" spans="3:4" ht="20.25" thickBot="1" x14ac:dyDescent="0.35">
      <c r="C2" s="3" t="s">
        <v>13</v>
      </c>
      <c r="D2" s="4"/>
    </row>
    <row r="3" spans="3:4" ht="17.25" thickTop="1" x14ac:dyDescent="0.25">
      <c r="C3" s="12" t="s">
        <v>14</v>
      </c>
      <c r="D3" s="12"/>
    </row>
    <row r="4" spans="3:4" ht="19.5" x14ac:dyDescent="0.3">
      <c r="C4" s="5"/>
      <c r="D4" s="6"/>
    </row>
    <row r="5" spans="3:4" ht="16.5" x14ac:dyDescent="0.25">
      <c r="C5" s="2" t="s">
        <v>0</v>
      </c>
      <c r="D5" s="22" t="s">
        <v>16</v>
      </c>
    </row>
    <row r="6" spans="3:4" ht="16.5" x14ac:dyDescent="0.25">
      <c r="C6" s="2" t="s">
        <v>1</v>
      </c>
      <c r="D6" s="23">
        <v>78399201516</v>
      </c>
    </row>
    <row r="7" spans="3:4" ht="16.5" x14ac:dyDescent="0.25">
      <c r="C7" s="2" t="s">
        <v>2</v>
      </c>
      <c r="D7" s="24">
        <v>36053</v>
      </c>
    </row>
    <row r="8" spans="3:4" ht="16.5" x14ac:dyDescent="0.25">
      <c r="C8" s="2" t="s">
        <v>3</v>
      </c>
      <c r="D8" s="22" t="s">
        <v>18</v>
      </c>
    </row>
    <row r="9" spans="3:4" ht="16.5" x14ac:dyDescent="0.25">
      <c r="C9" s="2" t="s">
        <v>4</v>
      </c>
      <c r="D9" s="22" t="s">
        <v>19</v>
      </c>
    </row>
    <row r="10" spans="3:4" ht="16.5" x14ac:dyDescent="0.25">
      <c r="C10" s="2" t="s">
        <v>5</v>
      </c>
      <c r="D10" s="22" t="s">
        <v>20</v>
      </c>
    </row>
    <row r="11" spans="3:4" ht="16.5" x14ac:dyDescent="0.25">
      <c r="C11" s="2" t="s">
        <v>6</v>
      </c>
      <c r="D11" s="25">
        <v>12345754</v>
      </c>
    </row>
    <row r="12" spans="3:4" ht="16.5" x14ac:dyDescent="0.25">
      <c r="C12" s="2" t="s">
        <v>7</v>
      </c>
      <c r="D12" s="26">
        <v>1230257675</v>
      </c>
    </row>
    <row r="13" spans="3:4" ht="16.5" x14ac:dyDescent="0.25">
      <c r="C13" s="2" t="s">
        <v>8</v>
      </c>
      <c r="D13" s="27">
        <v>12999889933</v>
      </c>
    </row>
    <row r="14" spans="3:4" ht="16.5" x14ac:dyDescent="0.25">
      <c r="C14" s="2" t="s">
        <v>9</v>
      </c>
      <c r="D14" s="28" t="s">
        <v>17</v>
      </c>
    </row>
    <row r="15" spans="3:4" ht="16.5" x14ac:dyDescent="0.25">
      <c r="C15" s="2" t="s">
        <v>10</v>
      </c>
      <c r="D15" s="22" t="s">
        <v>15</v>
      </c>
    </row>
    <row r="16" spans="3:4" ht="16.5" x14ac:dyDescent="0.25">
      <c r="C16" s="2" t="s">
        <v>11</v>
      </c>
      <c r="D16" s="22" t="s">
        <v>15</v>
      </c>
    </row>
    <row r="17" spans="3:4" ht="16.5" x14ac:dyDescent="0.25">
      <c r="C17" s="2" t="s">
        <v>12</v>
      </c>
      <c r="D17" s="22" t="s">
        <v>15</v>
      </c>
    </row>
  </sheetData>
  <sheetProtection algorithmName="SHA-512" hashValue="Ip3TxrG7ry0Z4vwRg/IDbVNOuT3a2upQB1+LNom7ii10jyLp0dHkH5lum7fzD5vMPz8FZdA1A8Uqh7t92gO9HA==" saltValue="jDIYWAle3XitNrOBy7P3nw==" spinCount="100000" sheet="1" objects="1" scenarios="1" selectLockedCells="1"/>
  <mergeCells count="1">
    <mergeCell ref="C3:D3"/>
  </mergeCells>
  <dataValidations count="1">
    <dataValidation type="list" allowBlank="1" showInputMessage="1" showErrorMessage="1" sqref="D15:D17">
      <formula1>"SIM,NÃO"</formula1>
    </dataValidation>
  </dataValidations>
  <hyperlinks>
    <hyperlink ref="D14" r:id="rId1"/>
  </hyperlinks>
  <pageMargins left="0.511811024" right="0.511811024" top="0.78740157499999996" bottom="0.78740157499999996" header="0.31496062000000002" footer="0.31496062000000002"/>
  <pageSetup paperSize="9" orientation="portrait" horizontalDpi="1200" verticalDpi="12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2"/>
  <dimension ref="A2:D21"/>
  <sheetViews>
    <sheetView showGridLines="0" showRowColHeaders="0" topLeftCell="B1" workbookViewId="0">
      <selection activeCell="D21" sqref="D21"/>
    </sheetView>
  </sheetViews>
  <sheetFormatPr defaultRowHeight="15" x14ac:dyDescent="0.25"/>
  <cols>
    <col min="1" max="1" width="37.85546875" style="1" customWidth="1"/>
    <col min="3" max="3" width="44.28515625" bestFit="1" customWidth="1"/>
    <col min="4" max="4" width="54.5703125" customWidth="1"/>
  </cols>
  <sheetData>
    <row r="2" spans="1:4" ht="20.25" thickBot="1" x14ac:dyDescent="0.35">
      <c r="C2" s="3" t="s">
        <v>80</v>
      </c>
      <c r="D2" s="4"/>
    </row>
    <row r="3" spans="1:4" ht="17.25" thickTop="1" x14ac:dyDescent="0.25">
      <c r="C3" s="12" t="s">
        <v>14</v>
      </c>
      <c r="D3" s="12"/>
    </row>
    <row r="4" spans="1:4" ht="19.5" x14ac:dyDescent="0.3">
      <c r="C4" s="5"/>
      <c r="D4" s="6"/>
    </row>
    <row r="5" spans="1:4" s="7" customFormat="1" ht="19.5" x14ac:dyDescent="0.3">
      <c r="A5" s="1"/>
      <c r="C5" s="9" t="s">
        <v>79</v>
      </c>
      <c r="D5" s="6"/>
    </row>
    <row r="6" spans="1:4" s="7" customFormat="1" x14ac:dyDescent="0.25">
      <c r="A6" s="1"/>
      <c r="C6" s="29">
        <f>SUM(D10,D15,D20)</f>
        <v>135855666</v>
      </c>
      <c r="D6" s="30"/>
    </row>
    <row r="7" spans="1:4" s="7" customFormat="1" ht="19.5" x14ac:dyDescent="0.3">
      <c r="A7" s="1"/>
      <c r="C7" s="5"/>
      <c r="D7" s="6"/>
    </row>
    <row r="8" spans="1:4" s="7" customFormat="1" ht="19.5" x14ac:dyDescent="0.3">
      <c r="A8" s="1"/>
      <c r="C8" s="10" t="s">
        <v>76</v>
      </c>
      <c r="D8" s="6"/>
    </row>
    <row r="9" spans="1:4" ht="16.5" x14ac:dyDescent="0.25">
      <c r="C9" s="2" t="s">
        <v>21</v>
      </c>
      <c r="D9" s="31" t="s">
        <v>43</v>
      </c>
    </row>
    <row r="10" spans="1:4" ht="16.5" x14ac:dyDescent="0.25">
      <c r="C10" s="2" t="s">
        <v>22</v>
      </c>
      <c r="D10" s="32">
        <v>500000</v>
      </c>
    </row>
    <row r="11" spans="1:4" ht="16.5" x14ac:dyDescent="0.25">
      <c r="C11" s="2" t="s">
        <v>23</v>
      </c>
      <c r="D11" s="33" t="s">
        <v>75</v>
      </c>
    </row>
    <row r="13" spans="1:4" ht="19.5" x14ac:dyDescent="0.3">
      <c r="C13" s="10" t="s">
        <v>77</v>
      </c>
      <c r="D13" s="6"/>
    </row>
    <row r="14" spans="1:4" ht="16.5" x14ac:dyDescent="0.25">
      <c r="C14" s="2" t="s">
        <v>21</v>
      </c>
      <c r="D14" s="31" t="s">
        <v>43</v>
      </c>
    </row>
    <row r="15" spans="1:4" ht="16.5" x14ac:dyDescent="0.25">
      <c r="C15" s="2" t="s">
        <v>22</v>
      </c>
      <c r="D15" s="32">
        <v>900000</v>
      </c>
    </row>
    <row r="16" spans="1:4" ht="16.5" x14ac:dyDescent="0.25">
      <c r="C16" s="2" t="s">
        <v>23</v>
      </c>
      <c r="D16" s="33" t="s">
        <v>75</v>
      </c>
    </row>
    <row r="18" spans="3:4" ht="19.5" x14ac:dyDescent="0.3">
      <c r="C18" s="10" t="s">
        <v>78</v>
      </c>
      <c r="D18" s="6"/>
    </row>
    <row r="19" spans="3:4" ht="16.5" x14ac:dyDescent="0.25">
      <c r="C19" s="2" t="s">
        <v>21</v>
      </c>
      <c r="D19" s="31" t="s">
        <v>43</v>
      </c>
    </row>
    <row r="20" spans="3:4" ht="16.5" x14ac:dyDescent="0.25">
      <c r="C20" s="2" t="s">
        <v>22</v>
      </c>
      <c r="D20" s="32">
        <v>134455666</v>
      </c>
    </row>
    <row r="21" spans="3:4" ht="16.5" x14ac:dyDescent="0.25">
      <c r="C21" s="2" t="s">
        <v>23</v>
      </c>
      <c r="D21" s="33" t="s">
        <v>75</v>
      </c>
    </row>
  </sheetData>
  <sheetProtection algorithmName="SHA-512" hashValue="oeh2Fa75rzJfNgXzm3c3CIQQMd+lefZYBfRmxR2a5PrIDpCPRIf1OR+5yeDRRIY7cLC/cYfAmbevda+Pm1959g==" saltValue="9jGgewhq1HAeS9Lg5Zh9Sw==" spinCount="100000" sheet="1" objects="1" scenarios="1" selectLockedCells="1"/>
  <mergeCells count="2">
    <mergeCell ref="C3:D3"/>
    <mergeCell ref="C6:D6"/>
  </mergeCells>
  <pageMargins left="0.511811024" right="0.511811024" top="0.78740157499999996" bottom="0.78740157499999996" header="0.31496062000000002" footer="0.31496062000000002"/>
  <pageSetup paperSize="9" orientation="portrait" horizontalDpi="1200" verticalDpi="1200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Banco não encontrado" error="Informe um banco da lista" promptTitle="INFORME UM BANCO " prompt="Informe um banco vinculado ao seu CPF">
          <x14:formula1>
            <xm:f>TABELAS!$A$1:$A$51</xm:f>
          </x14:formula1>
          <xm:sqref>D9 D14 D19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3"/>
  <dimension ref="A2:E34"/>
  <sheetViews>
    <sheetView showGridLines="0" showRowColHeaders="0" topLeftCell="B1" workbookViewId="0">
      <selection activeCell="D15" sqref="D15"/>
    </sheetView>
  </sheetViews>
  <sheetFormatPr defaultRowHeight="15" x14ac:dyDescent="0.25"/>
  <cols>
    <col min="1" max="1" width="37.85546875" style="1" customWidth="1"/>
    <col min="3" max="3" width="29" style="7" customWidth="1"/>
    <col min="4" max="4" width="36.28515625" style="7" customWidth="1"/>
    <col min="5" max="5" width="19" customWidth="1"/>
  </cols>
  <sheetData>
    <row r="2" spans="3:5" ht="19.5" x14ac:dyDescent="0.3">
      <c r="C2" s="13" t="s">
        <v>81</v>
      </c>
      <c r="D2" s="13"/>
      <c r="E2" s="13"/>
    </row>
    <row r="3" spans="3:5" ht="16.5" x14ac:dyDescent="0.25">
      <c r="C3" s="14" t="s">
        <v>82</v>
      </c>
      <c r="D3" s="14"/>
      <c r="E3" s="14"/>
    </row>
    <row r="4" spans="3:5" ht="19.5" x14ac:dyDescent="0.3">
      <c r="C4" s="5"/>
      <c r="D4" s="6"/>
    </row>
    <row r="5" spans="3:5" ht="19.5" x14ac:dyDescent="0.3">
      <c r="C5" s="9"/>
      <c r="D5" s="6"/>
    </row>
    <row r="6" spans="3:5" ht="16.5" x14ac:dyDescent="0.25">
      <c r="C6" s="15" t="s">
        <v>86</v>
      </c>
      <c r="D6" s="15"/>
      <c r="E6" s="15"/>
    </row>
    <row r="7" spans="3:5" ht="19.5" x14ac:dyDescent="0.25">
      <c r="C7" s="11" t="s">
        <v>83</v>
      </c>
      <c r="D7" s="11" t="s">
        <v>84</v>
      </c>
      <c r="E7" s="11" t="s">
        <v>85</v>
      </c>
    </row>
    <row r="8" spans="3:5" ht="16.5" x14ac:dyDescent="0.25">
      <c r="C8" s="34">
        <v>46047</v>
      </c>
      <c r="D8" s="35" t="s">
        <v>88</v>
      </c>
      <c r="E8" s="36">
        <v>3000</v>
      </c>
    </row>
    <row r="9" spans="3:5" ht="16.5" x14ac:dyDescent="0.25">
      <c r="C9" s="34">
        <v>46048</v>
      </c>
      <c r="D9" s="35" t="s">
        <v>89</v>
      </c>
      <c r="E9" s="36">
        <v>30000</v>
      </c>
    </row>
    <row r="10" spans="3:5" ht="16.5" x14ac:dyDescent="0.25">
      <c r="C10" s="34">
        <v>46049</v>
      </c>
      <c r="D10" s="35" t="s">
        <v>87</v>
      </c>
      <c r="E10" s="36">
        <v>8000</v>
      </c>
    </row>
    <row r="11" spans="3:5" ht="16.5" x14ac:dyDescent="0.25">
      <c r="C11" s="34">
        <v>46050</v>
      </c>
      <c r="D11" s="35" t="s">
        <v>88</v>
      </c>
      <c r="E11" s="36">
        <v>39000</v>
      </c>
    </row>
    <row r="12" spans="3:5" ht="16.5" x14ac:dyDescent="0.25">
      <c r="C12" s="34">
        <v>46051</v>
      </c>
      <c r="D12" s="35" t="s">
        <v>88</v>
      </c>
      <c r="E12" s="36">
        <v>10000</v>
      </c>
    </row>
    <row r="13" spans="3:5" ht="16.5" x14ac:dyDescent="0.25">
      <c r="C13" s="34">
        <v>46052</v>
      </c>
      <c r="D13" s="35" t="s">
        <v>88</v>
      </c>
      <c r="E13" s="36">
        <v>11000</v>
      </c>
    </row>
    <row r="14" spans="3:5" ht="16.5" x14ac:dyDescent="0.25">
      <c r="C14" s="34">
        <v>46053</v>
      </c>
      <c r="D14" s="35" t="s">
        <v>88</v>
      </c>
      <c r="E14" s="36">
        <v>5000</v>
      </c>
    </row>
    <row r="15" spans="3:5" ht="16.5" x14ac:dyDescent="0.25">
      <c r="C15" s="34">
        <v>46054</v>
      </c>
      <c r="D15" s="35" t="s">
        <v>88</v>
      </c>
      <c r="E15" s="36">
        <v>1500</v>
      </c>
    </row>
    <row r="16" spans="3:5" ht="16.5" x14ac:dyDescent="0.25">
      <c r="C16" s="34">
        <v>46055</v>
      </c>
      <c r="D16" s="35" t="s">
        <v>87</v>
      </c>
      <c r="E16" s="36">
        <v>8000</v>
      </c>
    </row>
    <row r="17" spans="3:5" ht="16.5" x14ac:dyDescent="0.25">
      <c r="C17" s="34">
        <v>46056</v>
      </c>
      <c r="D17" s="35" t="s">
        <v>88</v>
      </c>
      <c r="E17" s="36">
        <v>60000</v>
      </c>
    </row>
    <row r="18" spans="3:5" ht="16.5" x14ac:dyDescent="0.25">
      <c r="C18" s="34">
        <v>46057</v>
      </c>
      <c r="D18" s="35" t="s">
        <v>89</v>
      </c>
      <c r="E18" s="36">
        <v>10000</v>
      </c>
    </row>
    <row r="19" spans="3:5" ht="16.5" x14ac:dyDescent="0.25">
      <c r="C19" s="34">
        <v>46058</v>
      </c>
      <c r="D19" s="35" t="s">
        <v>89</v>
      </c>
      <c r="E19" s="36">
        <v>5000</v>
      </c>
    </row>
    <row r="20" spans="3:5" ht="16.5" x14ac:dyDescent="0.25">
      <c r="C20" s="34">
        <v>46059</v>
      </c>
      <c r="D20" s="35" t="s">
        <v>88</v>
      </c>
      <c r="E20" s="36">
        <v>35000</v>
      </c>
    </row>
    <row r="21" spans="3:5" ht="16.5" x14ac:dyDescent="0.25">
      <c r="C21" s="34">
        <v>46060</v>
      </c>
      <c r="D21" s="35" t="s">
        <v>88</v>
      </c>
      <c r="E21" s="36">
        <v>44000</v>
      </c>
    </row>
    <row r="22" spans="3:5" ht="16.5" x14ac:dyDescent="0.25">
      <c r="C22" s="34">
        <v>46061</v>
      </c>
      <c r="D22" s="35" t="s">
        <v>88</v>
      </c>
      <c r="E22" s="36">
        <v>7250</v>
      </c>
    </row>
    <row r="25" spans="3:5" ht="16.5" x14ac:dyDescent="0.25">
      <c r="C25" s="15" t="s">
        <v>95</v>
      </c>
      <c r="D25" s="15"/>
      <c r="E25" s="15"/>
    </row>
    <row r="26" spans="3:5" ht="20.25" thickBot="1" x14ac:dyDescent="0.3">
      <c r="C26" s="16" t="s">
        <v>92</v>
      </c>
      <c r="D26" s="17" t="s">
        <v>93</v>
      </c>
      <c r="E26" s="18" t="s">
        <v>94</v>
      </c>
    </row>
    <row r="27" spans="3:5" ht="17.25" thickTop="1" x14ac:dyDescent="0.25">
      <c r="C27" s="19" t="s">
        <v>90</v>
      </c>
      <c r="D27" s="20"/>
      <c r="E27" s="21"/>
    </row>
    <row r="28" spans="3:5" ht="16.5" x14ac:dyDescent="0.25">
      <c r="C28" s="19"/>
      <c r="D28" s="20" t="s">
        <v>88</v>
      </c>
      <c r="E28" s="21">
        <f>SUMIF($D$8:$D$14,"CNPJ",$E$8:$E$14)</f>
        <v>68000</v>
      </c>
    </row>
    <row r="29" spans="3:5" ht="16.5" x14ac:dyDescent="0.25">
      <c r="C29" s="19"/>
      <c r="D29" s="20" t="s">
        <v>89</v>
      </c>
      <c r="E29" s="21">
        <f>SUMIF($D$8:$D$14,"FREELANCE",$E$8:$E$14)</f>
        <v>30000</v>
      </c>
    </row>
    <row r="30" spans="3:5" ht="16.5" x14ac:dyDescent="0.25">
      <c r="C30" s="19"/>
      <c r="D30" s="20" t="s">
        <v>87</v>
      </c>
      <c r="E30" s="21">
        <f>SUMIF($D$8:$D$14,"HOLERITE",$E$8:$E$14)</f>
        <v>8000</v>
      </c>
    </row>
    <row r="31" spans="3:5" ht="16.5" x14ac:dyDescent="0.25">
      <c r="C31" s="19" t="s">
        <v>91</v>
      </c>
      <c r="D31" s="20"/>
      <c r="E31" s="21"/>
    </row>
    <row r="32" spans="3:5" ht="16.5" x14ac:dyDescent="0.25">
      <c r="C32" s="19"/>
      <c r="D32" s="20" t="s">
        <v>88</v>
      </c>
      <c r="E32" s="21">
        <f>SUMIF($D$15:$D$22,"CNPJ",$E$15:$E$22)</f>
        <v>147750</v>
      </c>
    </row>
    <row r="33" spans="3:5" ht="16.5" x14ac:dyDescent="0.25">
      <c r="C33" s="19"/>
      <c r="D33" s="20" t="s">
        <v>89</v>
      </c>
      <c r="E33" s="21">
        <f>SUMIF($D$15:$D$22,"FREELANCE",$E$15:$E$22)</f>
        <v>15000</v>
      </c>
    </row>
    <row r="34" spans="3:5" ht="16.5" x14ac:dyDescent="0.25">
      <c r="C34" s="19"/>
      <c r="D34" s="20" t="s">
        <v>87</v>
      </c>
      <c r="E34" s="21">
        <f>SUMIF($D$15:$D$22,"HOLERITE",$E$15:$E$22)</f>
        <v>8000</v>
      </c>
    </row>
  </sheetData>
  <sheetProtection algorithmName="SHA-512" hashValue="fMXGseXEmv/rgEqLC7FmL85CsSGT4UZoe8F/yQNuS9vUB4OX3y6tsF/tsKG+SjqM3Pd/y+mfUkT73yETS4/J/Q==" saltValue="4Fsre6E3M27ny9jjiQXc1g==" spinCount="100000" sheet="1" objects="1" scenarios="1" selectLockedCells="1"/>
  <mergeCells count="4">
    <mergeCell ref="C2:E2"/>
    <mergeCell ref="C3:E3"/>
    <mergeCell ref="C6:E6"/>
    <mergeCell ref="C25:E25"/>
  </mergeCells>
  <dataValidations count="1">
    <dataValidation type="list" allowBlank="1" showInputMessage="1" showErrorMessage="1" sqref="D8:D22">
      <formula1>"HOLERITE,CNPJ,FREELANCE"</formula1>
    </dataValidation>
  </dataValidations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1"/>
  <sheetViews>
    <sheetView showGridLines="0" workbookViewId="0">
      <selection sqref="A1:XFD1048576"/>
    </sheetView>
  </sheetViews>
  <sheetFormatPr defaultRowHeight="15" x14ac:dyDescent="0.25"/>
  <cols>
    <col min="1" max="1" width="38.5703125" style="7" bestFit="1" customWidth="1"/>
    <col min="2" max="16384" width="9.140625" style="7"/>
  </cols>
  <sheetData>
    <row r="1" spans="1:1" x14ac:dyDescent="0.25">
      <c r="A1" s="8" t="s">
        <v>24</v>
      </c>
    </row>
    <row r="2" spans="1:1" x14ac:dyDescent="0.25">
      <c r="A2" s="7" t="s">
        <v>25</v>
      </c>
    </row>
    <row r="3" spans="1:1" x14ac:dyDescent="0.25">
      <c r="A3" s="7" t="s">
        <v>26</v>
      </c>
    </row>
    <row r="4" spans="1:1" x14ac:dyDescent="0.25">
      <c r="A4" s="7" t="s">
        <v>27</v>
      </c>
    </row>
    <row r="5" spans="1:1" x14ac:dyDescent="0.25">
      <c r="A5" s="7" t="s">
        <v>28</v>
      </c>
    </row>
    <row r="6" spans="1:1" x14ac:dyDescent="0.25">
      <c r="A6" s="7" t="s">
        <v>29</v>
      </c>
    </row>
    <row r="7" spans="1:1" x14ac:dyDescent="0.25">
      <c r="A7" s="7" t="s">
        <v>30</v>
      </c>
    </row>
    <row r="8" spans="1:1" x14ac:dyDescent="0.25">
      <c r="A8" s="7" t="s">
        <v>31</v>
      </c>
    </row>
    <row r="9" spans="1:1" x14ac:dyDescent="0.25">
      <c r="A9" s="7" t="s">
        <v>32</v>
      </c>
    </row>
    <row r="10" spans="1:1" x14ac:dyDescent="0.25">
      <c r="A10" s="7" t="s">
        <v>33</v>
      </c>
    </row>
    <row r="11" spans="1:1" x14ac:dyDescent="0.25">
      <c r="A11" s="7" t="s">
        <v>34</v>
      </c>
    </row>
    <row r="12" spans="1:1" x14ac:dyDescent="0.25">
      <c r="A12" s="7" t="s">
        <v>35</v>
      </c>
    </row>
    <row r="13" spans="1:1" x14ac:dyDescent="0.25">
      <c r="A13" s="7" t="s">
        <v>36</v>
      </c>
    </row>
    <row r="14" spans="1:1" x14ac:dyDescent="0.25">
      <c r="A14" s="7" t="s">
        <v>37</v>
      </c>
    </row>
    <row r="15" spans="1:1" x14ac:dyDescent="0.25">
      <c r="A15" s="7" t="s">
        <v>38</v>
      </c>
    </row>
    <row r="16" spans="1:1" x14ac:dyDescent="0.25">
      <c r="A16" s="7" t="s">
        <v>39</v>
      </c>
    </row>
    <row r="17" spans="1:1" x14ac:dyDescent="0.25">
      <c r="A17" s="7" t="s">
        <v>40</v>
      </c>
    </row>
    <row r="18" spans="1:1" x14ac:dyDescent="0.25">
      <c r="A18" s="7" t="s">
        <v>41</v>
      </c>
    </row>
    <row r="19" spans="1:1" x14ac:dyDescent="0.25">
      <c r="A19" s="7" t="s">
        <v>42</v>
      </c>
    </row>
    <row r="20" spans="1:1" x14ac:dyDescent="0.25">
      <c r="A20" s="7" t="s">
        <v>43</v>
      </c>
    </row>
    <row r="21" spans="1:1" x14ac:dyDescent="0.25">
      <c r="A21" s="7" t="s">
        <v>44</v>
      </c>
    </row>
    <row r="22" spans="1:1" x14ac:dyDescent="0.25">
      <c r="A22" s="7" t="s">
        <v>45</v>
      </c>
    </row>
    <row r="23" spans="1:1" x14ac:dyDescent="0.25">
      <c r="A23" s="7" t="s">
        <v>46</v>
      </c>
    </row>
    <row r="24" spans="1:1" x14ac:dyDescent="0.25">
      <c r="A24" s="7" t="s">
        <v>47</v>
      </c>
    </row>
    <row r="25" spans="1:1" x14ac:dyDescent="0.25">
      <c r="A25" s="7" t="s">
        <v>48</v>
      </c>
    </row>
    <row r="26" spans="1:1" x14ac:dyDescent="0.25">
      <c r="A26" s="7" t="s">
        <v>49</v>
      </c>
    </row>
    <row r="27" spans="1:1" x14ac:dyDescent="0.25">
      <c r="A27" s="7" t="s">
        <v>50</v>
      </c>
    </row>
    <row r="28" spans="1:1" x14ac:dyDescent="0.25">
      <c r="A28" s="7" t="s">
        <v>51</v>
      </c>
    </row>
    <row r="29" spans="1:1" x14ac:dyDescent="0.25">
      <c r="A29" s="7" t="s">
        <v>52</v>
      </c>
    </row>
    <row r="30" spans="1:1" x14ac:dyDescent="0.25">
      <c r="A30" s="7" t="s">
        <v>53</v>
      </c>
    </row>
    <row r="31" spans="1:1" x14ac:dyDescent="0.25">
      <c r="A31" s="7" t="s">
        <v>54</v>
      </c>
    </row>
    <row r="32" spans="1:1" x14ac:dyDescent="0.25">
      <c r="A32" s="7" t="s">
        <v>55</v>
      </c>
    </row>
    <row r="33" spans="1:1" x14ac:dyDescent="0.25">
      <c r="A33" s="7" t="s">
        <v>56</v>
      </c>
    </row>
    <row r="34" spans="1:1" x14ac:dyDescent="0.25">
      <c r="A34" s="7" t="s">
        <v>57</v>
      </c>
    </row>
    <row r="35" spans="1:1" x14ac:dyDescent="0.25">
      <c r="A35" s="7" t="s">
        <v>58</v>
      </c>
    </row>
    <row r="36" spans="1:1" x14ac:dyDescent="0.25">
      <c r="A36" s="7" t="s">
        <v>59</v>
      </c>
    </row>
    <row r="37" spans="1:1" x14ac:dyDescent="0.25">
      <c r="A37" s="7" t="s">
        <v>60</v>
      </c>
    </row>
    <row r="38" spans="1:1" x14ac:dyDescent="0.25">
      <c r="A38" s="7" t="s">
        <v>61</v>
      </c>
    </row>
    <row r="39" spans="1:1" x14ac:dyDescent="0.25">
      <c r="A39" s="7" t="s">
        <v>62</v>
      </c>
    </row>
    <row r="40" spans="1:1" x14ac:dyDescent="0.25">
      <c r="A40" s="7" t="s">
        <v>63</v>
      </c>
    </row>
    <row r="41" spans="1:1" x14ac:dyDescent="0.25">
      <c r="A41" s="7" t="s">
        <v>64</v>
      </c>
    </row>
    <row r="42" spans="1:1" x14ac:dyDescent="0.25">
      <c r="A42" s="7" t="s">
        <v>65</v>
      </c>
    </row>
    <row r="43" spans="1:1" x14ac:dyDescent="0.25">
      <c r="A43" s="7" t="s">
        <v>66</v>
      </c>
    </row>
    <row r="44" spans="1:1" x14ac:dyDescent="0.25">
      <c r="A44" s="7" t="s">
        <v>67</v>
      </c>
    </row>
    <row r="45" spans="1:1" x14ac:dyDescent="0.25">
      <c r="A45" s="7" t="s">
        <v>68</v>
      </c>
    </row>
    <row r="46" spans="1:1" x14ac:dyDescent="0.25">
      <c r="A46" s="7" t="s">
        <v>69</v>
      </c>
    </row>
    <row r="47" spans="1:1" x14ac:dyDescent="0.25">
      <c r="A47" s="7" t="s">
        <v>70</v>
      </c>
    </row>
    <row r="48" spans="1:1" x14ac:dyDescent="0.25">
      <c r="A48" s="7" t="s">
        <v>71</v>
      </c>
    </row>
    <row r="49" spans="1:1" x14ac:dyDescent="0.25">
      <c r="A49" s="7" t="s">
        <v>72</v>
      </c>
    </row>
    <row r="50" spans="1:1" x14ac:dyDescent="0.25">
      <c r="A50" s="7" t="s">
        <v>73</v>
      </c>
    </row>
    <row r="51" spans="1:1" x14ac:dyDescent="0.25">
      <c r="A51" s="7" t="s">
        <v>74</v>
      </c>
    </row>
  </sheetData>
  <sheetProtection algorithmName="SHA-512" hashValue="Y56/zhV/T4dWMSE59PNlw3fDFJLS6TrRAQtZu7NUAzFKRctucQpm6f7+Q2E1KXUWZHUGlkh8I2KFV1dmXILEcQ==" saltValue="D0H3xRn4MZsF8qx1P48SJA==" spinCount="100000" sheet="1" objects="1" scenarios="1" selectLockedCells="1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TITULAR</vt:lpstr>
      <vt:lpstr>INFORMES</vt:lpstr>
      <vt:lpstr>NOTAS</vt:lpstr>
      <vt:lpstr>TABELAS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2026-01-24T14:45:44Z</dcterms:created>
  <dcterms:modified xsi:type="dcterms:W3CDTF">2026-02-05T17:07:50Z</dcterms:modified>
</cp:coreProperties>
</file>